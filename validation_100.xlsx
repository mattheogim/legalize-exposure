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</font>
    <font>
      <name val="Arial"/>
      <b val="1"/>
      <sz val="14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6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2" fontId="4" fillId="0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0" fontId="4" fillId="8" borderId="1" pivotButton="0" quotePrefix="0" xfId="0"/>
    <xf numFmtId="0" fontId="4" fillId="9" borderId="1" pivotButton="0" quotePrefix="0" xfId="0"/>
    <xf numFmtId="0" fontId="5" fillId="0" borderId="0" pivotButton="0" quotePrefix="0" xfId="0"/>
    <xf numFmtId="0" fontId="6" fillId="9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24" customWidth="1" min="4" max="4"/>
    <col width="14" customWidth="1" min="5" max="5"/>
    <col width="12" customWidth="1" min="6" max="6"/>
    <col width="11" customWidth="1" min="7" max="7"/>
    <col width="10" customWidth="1" min="8" max="8"/>
    <col width="22" customWidth="1" min="9" max="9"/>
    <col width="32" customWidth="1" min="10" max="10"/>
    <col width="8" customWidth="1" min="11" max="11"/>
    <col width="22" customWidth="1" min="12" max="12"/>
    <col width="32" customWidth="1" min="13" max="13"/>
    <col width="30" customWidth="1" min="14" max="14"/>
    <col width="14" customWidth="1" min="15" max="15"/>
    <col width="12" customWidth="1" min="16" max="16"/>
    <col width="10" customWidth="1" min="17" max="17"/>
  </cols>
  <sheetData>
    <row r="1">
      <c r="A1" s="1" t="inlineStr">
        <is>
          <t>Regulation Info</t>
        </is>
      </c>
      <c r="I1" s="2" t="inlineStr">
        <is>
          <t>Pipeline Prediction</t>
        </is>
      </c>
      <c r="L1" s="3" t="inlineStr">
        <is>
          <t>Ground Truth (수동 입력)</t>
        </is>
      </c>
      <c r="O1" s="4" t="inlineStr">
        <is>
          <t>Scoring</t>
        </is>
      </c>
    </row>
    <row r="2">
      <c r="A2" s="5" t="inlineStr">
        <is>
          <t>#</t>
        </is>
      </c>
      <c r="B2" s="5" t="inlineStr">
        <is>
          <t>Document #</t>
        </is>
      </c>
      <c r="C2" s="5" t="inlineStr">
        <is>
          <t>Title</t>
        </is>
      </c>
      <c r="D2" s="5" t="inlineStr">
        <is>
          <t>Agency</t>
        </is>
      </c>
      <c r="E2" s="5" t="inlineStr">
        <is>
          <t>Type</t>
        </is>
      </c>
      <c r="F2" s="5" t="inlineStr">
        <is>
          <t>Date</t>
        </is>
      </c>
      <c r="G2" s="5" t="inlineStr">
        <is>
          <t>Significant</t>
        </is>
      </c>
      <c r="H2" s="5" t="inlineStr">
        <is>
          <t>Contam</t>
        </is>
      </c>
      <c r="I2" s="5" t="inlineStr">
        <is>
          <t>P: NAICS</t>
        </is>
      </c>
      <c r="J2" s="5" t="inlineStr">
        <is>
          <t>P: ETFs</t>
        </is>
      </c>
      <c r="K2" s="5" t="inlineStr">
        <is>
          <t>P: #ETFs</t>
        </is>
      </c>
      <c r="L2" s="5" t="inlineStr">
        <is>
          <t>GT: NAICS</t>
        </is>
      </c>
      <c r="M2" s="5" t="inlineStr">
        <is>
          <t>GT: ETFs</t>
        </is>
      </c>
      <c r="N2" s="5" t="inlineStr">
        <is>
          <t>GT: Notes</t>
        </is>
      </c>
      <c r="O2" s="5" t="inlineStr">
        <is>
          <t>Industry Match</t>
        </is>
      </c>
      <c r="P2" s="5" t="inlineStr">
        <is>
          <t>ETF Match</t>
        </is>
      </c>
      <c r="Q2" s="5" t="inlineStr">
        <is>
          <t>Overall</t>
        </is>
      </c>
    </row>
    <row r="3">
      <c r="A3" s="6" t="n">
        <v>1</v>
      </c>
      <c r="B3" s="6" t="inlineStr">
        <is>
          <t>2026-06281</t>
        </is>
      </c>
      <c r="C3" s="7" t="inlineStr">
        <is>
          <t>Rescission of OCC Guidelines Establishing Standards for Recovery Planning by Certain Large Insured N</t>
        </is>
      </c>
      <c r="D3" s="6" t="inlineStr">
        <is>
          <t>treasury-department</t>
        </is>
      </c>
      <c r="E3" s="6" t="inlineStr">
        <is>
          <t>Rule</t>
        </is>
      </c>
      <c r="F3" s="6" t="inlineStr">
        <is>
          <t>2026-04-01</t>
        </is>
      </c>
      <c r="G3" s="8" t="inlineStr">
        <is>
          <t>N</t>
        </is>
      </c>
      <c r="H3" s="9" t="n">
        <v>0.53</v>
      </c>
      <c r="I3" s="10" t="inlineStr">
        <is>
          <t>522, 523</t>
        </is>
      </c>
      <c r="J3" s="10" t="inlineStr">
        <is>
          <t>IAI, KIE, KRE, XLF</t>
        </is>
      </c>
      <c r="K3" s="11" t="n">
        <v>4</v>
      </c>
      <c r="L3" s="12" t="n"/>
      <c r="M3" s="12" t="n"/>
      <c r="N3" s="12" t="n"/>
      <c r="O3" s="13">
        <f>IF(L3="","",IF(I3=L3,"EXACT",IF(ISNUMBER(SEARCH(LEFT(I3,3),L3)),"PARTIAL","MISS")))</f>
        <v/>
      </c>
      <c r="P3" s="13">
        <f>IF(M3="","",IF(J3=M3,"EXACT","REVIEW"))</f>
        <v/>
      </c>
      <c r="Q3" s="13">
        <f>IF(OR(L3="",M3=""),"",IF(AND(O3="EXACT",P3="EXACT"),"PASS","REVIEW"))</f>
        <v/>
      </c>
    </row>
    <row r="4">
      <c r="A4" s="6" t="n">
        <v>2</v>
      </c>
      <c r="B4" s="6" t="inlineStr">
        <is>
          <t>2026-06489</t>
        </is>
      </c>
      <c r="C4" s="7" t="inlineStr">
        <is>
          <t>GENIUS Act Broad-Based Principles for Determining Whether a State-Level Regulatory Regime Is Substan</t>
        </is>
      </c>
      <c r="D4" s="6" t="inlineStr">
        <is>
          <t>treasury-department</t>
        </is>
      </c>
      <c r="E4" s="6" t="inlineStr">
        <is>
          <t>Proposed Rule</t>
        </is>
      </c>
      <c r="F4" s="6" t="inlineStr">
        <is>
          <t>2026-04-03</t>
        </is>
      </c>
      <c r="G4" s="8" t="inlineStr">
        <is>
          <t>N</t>
        </is>
      </c>
      <c r="H4" s="9" t="n">
        <v>0.8</v>
      </c>
      <c r="I4" s="10" t="inlineStr">
        <is>
          <t>522, 523</t>
        </is>
      </c>
      <c r="J4" s="10" t="inlineStr">
        <is>
          <t>IAI, KIE, KRE, XLF</t>
        </is>
      </c>
      <c r="K4" s="11" t="n">
        <v>4</v>
      </c>
      <c r="L4" s="12" t="n"/>
      <c r="M4" s="12" t="n"/>
      <c r="N4" s="12" t="n"/>
      <c r="O4" s="13">
        <f>IF(L4="","",IF(I4=L4,"EXACT",IF(ISNUMBER(SEARCH(LEFT(I4,3),L4)),"PARTIAL","MISS")))</f>
        <v/>
      </c>
      <c r="P4" s="13">
        <f>IF(M4="","",IF(J4=M4,"EXACT","REVIEW"))</f>
        <v/>
      </c>
      <c r="Q4" s="13">
        <f>IF(OR(L4="",M4=""),"",IF(AND(O4="EXACT",P4="EXACT"),"PASS","REVIEW"))</f>
        <v/>
      </c>
    </row>
    <row r="5">
      <c r="A5" s="6" t="n">
        <v>3</v>
      </c>
      <c r="B5" s="6" t="inlineStr">
        <is>
          <t>2026-06762</t>
        </is>
      </c>
      <c r="C5" s="7" t="inlineStr">
        <is>
          <t>Amendment of Class B Airspace Description; Denver International Airport, CO</t>
        </is>
      </c>
      <c r="D5" s="6" t="inlineStr">
        <is>
          <t>transportation-department</t>
        </is>
      </c>
      <c r="E5" s="6" t="inlineStr">
        <is>
          <t>Rule</t>
        </is>
      </c>
      <c r="F5" s="6" t="inlineStr">
        <is>
          <t>2026-04-08</t>
        </is>
      </c>
      <c r="G5" s="8" t="inlineStr">
        <is>
          <t>N</t>
        </is>
      </c>
      <c r="H5" s="9" t="n">
        <v>0.5</v>
      </c>
      <c r="I5" s="10" t="inlineStr">
        <is>
          <t>3364, 481</t>
        </is>
      </c>
      <c r="J5" s="10" t="inlineStr">
        <is>
          <t>ITA, IYT, JETS, XLI</t>
        </is>
      </c>
      <c r="K5" s="11" t="n">
        <v>4</v>
      </c>
      <c r="L5" s="12" t="n"/>
      <c r="M5" s="12" t="n"/>
      <c r="N5" s="12" t="n"/>
      <c r="O5" s="13">
        <f>IF(L5="","",IF(I5=L5,"EXACT",IF(ISNUMBER(SEARCH(LEFT(I5,3),L5)),"PARTIAL","MISS")))</f>
        <v/>
      </c>
      <c r="P5" s="13">
        <f>IF(M5="","",IF(J5=M5,"EXACT","REVIEW"))</f>
        <v/>
      </c>
      <c r="Q5" s="13">
        <f>IF(OR(L5="",M5=""),"",IF(AND(O5="EXACT",P5="EXACT"),"PASS","REVIEW"))</f>
        <v/>
      </c>
    </row>
    <row r="6">
      <c r="A6" s="6" t="n">
        <v>4</v>
      </c>
      <c r="B6" s="6" t="inlineStr">
        <is>
          <t>2026-06599</t>
        </is>
      </c>
      <c r="C6" s="7" t="inlineStr">
        <is>
          <t>Airworthiness Directives; Baykar Piaggio Aerospace S.p.A. (Type Certificate Previously Held by Piagg</t>
        </is>
      </c>
      <c r="D6" s="6" t="inlineStr">
        <is>
          <t>transportation-department</t>
        </is>
      </c>
      <c r="E6" s="6" t="inlineStr">
        <is>
          <t>Rule</t>
        </is>
      </c>
      <c r="F6" s="6" t="inlineStr">
        <is>
          <t>2026-04-06</t>
        </is>
      </c>
      <c r="G6" s="8" t="inlineStr">
        <is>
          <t>N</t>
        </is>
      </c>
      <c r="H6" s="9" t="n">
        <v>0.4</v>
      </c>
      <c r="I6" s="10" t="inlineStr">
        <is>
          <t>3364, 481</t>
        </is>
      </c>
      <c r="J6" s="10" t="inlineStr">
        <is>
          <t>ITA, IYT, JETS, XLI</t>
        </is>
      </c>
      <c r="K6" s="11" t="n">
        <v>4</v>
      </c>
      <c r="L6" s="12" t="n"/>
      <c r="M6" s="12" t="n"/>
      <c r="N6" s="12" t="n"/>
      <c r="O6" s="13">
        <f>IF(L6="","",IF(I6=L6,"EXACT",IF(ISNUMBER(SEARCH(LEFT(I6,3),L6)),"PARTIAL","MISS")))</f>
        <v/>
      </c>
      <c r="P6" s="13">
        <f>IF(M6="","",IF(J6=M6,"EXACT","REVIEW"))</f>
        <v/>
      </c>
      <c r="Q6" s="13">
        <f>IF(OR(L6="",M6=""),"",IF(AND(O6="EXACT",P6="EXACT"),"PASS","REVIEW"))</f>
        <v/>
      </c>
    </row>
    <row r="7">
      <c r="A7" s="6" t="n">
        <v>5</v>
      </c>
      <c r="B7" s="6" t="inlineStr">
        <is>
          <t>2026-06374</t>
        </is>
      </c>
      <c r="C7" s="7" t="inlineStr">
        <is>
          <t>List of Approved Spent Fuel Storage Casks: Holtec International HI-STORM UMAX Canister Storage Syste</t>
        </is>
      </c>
      <c r="D7" s="6" t="inlineStr">
        <is>
          <t>nuclear-regulatory-commission</t>
        </is>
      </c>
      <c r="E7" s="6" t="inlineStr">
        <is>
          <t>Proposed Rule</t>
        </is>
      </c>
      <c r="F7" s="6" t="inlineStr">
        <is>
          <t>2026-04-02</t>
        </is>
      </c>
      <c r="G7" s="8" t="inlineStr">
        <is>
          <t>N</t>
        </is>
      </c>
      <c r="H7" s="9" t="n">
        <v>0.67</v>
      </c>
      <c r="I7" s="10" t="inlineStr">
        <is>
          <t>2211, 221, 562, 211</t>
        </is>
      </c>
      <c r="J7" s="10" t="inlineStr">
        <is>
          <t>ICLN, OIH, PHO, TAN, XLE, XLI, XLU, XOP</t>
        </is>
      </c>
      <c r="K7" s="11" t="n">
        <v>8</v>
      </c>
      <c r="L7" s="12" t="n"/>
      <c r="M7" s="12" t="n"/>
      <c r="N7" s="12" t="n"/>
      <c r="O7" s="13">
        <f>IF(L7="","",IF(I7=L7,"EXACT",IF(ISNUMBER(SEARCH(LEFT(I7,3),L7)),"PARTIAL","MISS")))</f>
        <v/>
      </c>
      <c r="P7" s="13">
        <f>IF(M7="","",IF(J7=M7,"EXACT","REVIEW"))</f>
        <v/>
      </c>
      <c r="Q7" s="13">
        <f>IF(OR(L7="",M7=""),"",IF(AND(O7="EXACT",P7="EXACT"),"PASS","REVIEW"))</f>
        <v/>
      </c>
    </row>
    <row r="8">
      <c r="A8" s="6" t="n">
        <v>6</v>
      </c>
      <c r="B8" s="6" t="inlineStr">
        <is>
          <t>2026-06048</t>
        </is>
      </c>
      <c r="C8" s="7" t="inlineStr">
        <is>
          <t>Risk-Informed, Technology-Inclusive Regulatory Framework for Advanced Reactors</t>
        </is>
      </c>
      <c r="D8" s="6" t="inlineStr">
        <is>
          <t>nuclear-regulatory-commission</t>
        </is>
      </c>
      <c r="E8" s="6" t="inlineStr">
        <is>
          <t>Rule</t>
        </is>
      </c>
      <c r="F8" s="6" t="inlineStr">
        <is>
          <t>2026-03-30</t>
        </is>
      </c>
      <c r="G8" s="8" t="inlineStr">
        <is>
          <t>Y</t>
        </is>
      </c>
      <c r="H8" s="9" t="n">
        <v>0.33</v>
      </c>
      <c r="I8" s="10" t="inlineStr">
        <is>
          <t>2211, 221, 562, 211</t>
        </is>
      </c>
      <c r="J8" s="10" t="inlineStr">
        <is>
          <t>ICLN, OIH, PHO, TAN, XLE, XLI, XLU, XOP</t>
        </is>
      </c>
      <c r="K8" s="11" t="n">
        <v>8</v>
      </c>
      <c r="L8" s="12" t="n"/>
      <c r="M8" s="12" t="n"/>
      <c r="N8" s="12" t="n"/>
      <c r="O8" s="13">
        <f>IF(L8="","",IF(I8=L8,"EXACT",IF(ISNUMBER(SEARCH(LEFT(I8,3),L8)),"PARTIAL","MISS")))</f>
        <v/>
      </c>
      <c r="P8" s="13">
        <f>IF(M8="","",IF(J8=M8,"EXACT","REVIEW"))</f>
        <v/>
      </c>
      <c r="Q8" s="13">
        <f>IF(OR(L8="",M8=""),"",IF(AND(O8="EXACT",P8="EXACT"),"PASS","REVIEW"))</f>
        <v/>
      </c>
    </row>
    <row r="9">
      <c r="A9" s="6" t="n">
        <v>7</v>
      </c>
      <c r="B9" s="6" t="inlineStr">
        <is>
          <t>2026-06955</t>
        </is>
      </c>
      <c r="C9" s="7" t="inlineStr">
        <is>
          <t>Import Regulations for Horses; Pre-Export Examination</t>
        </is>
      </c>
      <c r="D9" s="6" t="inlineStr">
        <is>
          <t>agriculture-department</t>
        </is>
      </c>
      <c r="E9" s="6" t="inlineStr">
        <is>
          <t>Rule</t>
        </is>
      </c>
      <c r="F9" s="6" t="inlineStr">
        <is>
          <t>2026-04-10</t>
        </is>
      </c>
      <c r="G9" s="8" t="inlineStr">
        <is>
          <t>N</t>
        </is>
      </c>
      <c r="H9" s="9" t="n">
        <v>0.33</v>
      </c>
      <c r="I9" s="10" t="inlineStr">
        <is>
          <t>112, 311, 114</t>
        </is>
      </c>
      <c r="J9" s="10" t="inlineStr">
        <is>
          <t>MOO, XLP</t>
        </is>
      </c>
      <c r="K9" s="11" t="n">
        <v>2</v>
      </c>
      <c r="L9" s="12" t="n"/>
      <c r="M9" s="12" t="n"/>
      <c r="N9" s="12" t="n"/>
      <c r="O9" s="13">
        <f>IF(L9="","",IF(I9=L9,"EXACT",IF(ISNUMBER(SEARCH(LEFT(I9,3),L9)),"PARTIAL","MISS")))</f>
        <v/>
      </c>
      <c r="P9" s="13">
        <f>IF(M9="","",IF(J9=M9,"EXACT","REVIEW"))</f>
        <v/>
      </c>
      <c r="Q9" s="13">
        <f>IF(OR(L9="",M9=""),"",IF(AND(O9="EXACT",P9="EXACT"),"PASS","REVIEW"))</f>
        <v/>
      </c>
    </row>
    <row r="10">
      <c r="A10" s="6" t="n">
        <v>8</v>
      </c>
      <c r="B10" s="6" t="inlineStr">
        <is>
          <t>2026-06173</t>
        </is>
      </c>
      <c r="C10" s="7" t="inlineStr">
        <is>
          <t>Single Family Housing Guaranteed Loan Program-Income Producing Accessory Dwelling Unit (ADU) Provisi</t>
        </is>
      </c>
      <c r="D10" s="6" t="inlineStr">
        <is>
          <t>agriculture-department</t>
        </is>
      </c>
      <c r="E10" s="6" t="inlineStr">
        <is>
          <t>Proposed Rule</t>
        </is>
      </c>
      <c r="F10" s="6" t="inlineStr">
        <is>
          <t>2026-03-31</t>
        </is>
      </c>
      <c r="G10" s="8" t="inlineStr">
        <is>
          <t>Y</t>
        </is>
      </c>
      <c r="H10" s="9" t="n">
        <v>0.42</v>
      </c>
      <c r="I10" s="10" t="inlineStr">
        <is>
          <t>111, 112, 311</t>
        </is>
      </c>
      <c r="J10" s="10" t="inlineStr">
        <is>
          <t>MOO, XLP</t>
        </is>
      </c>
      <c r="K10" s="11" t="n">
        <v>2</v>
      </c>
      <c r="L10" s="12" t="n"/>
      <c r="M10" s="12" t="n"/>
      <c r="N10" s="12" t="n"/>
      <c r="O10" s="13">
        <f>IF(L10="","",IF(I10=L10,"EXACT",IF(ISNUMBER(SEARCH(LEFT(I10,3),L10)),"PARTIAL","MISS")))</f>
        <v/>
      </c>
      <c r="P10" s="13">
        <f>IF(M10="","",IF(J10=M10,"EXACT","REVIEW"))</f>
        <v/>
      </c>
      <c r="Q10" s="13">
        <f>IF(OR(L10="",M10=""),"",IF(AND(O10="EXACT",P10="EXACT"),"PASS","REVIEW"))</f>
        <v/>
      </c>
    </row>
    <row r="11">
      <c r="A11" s="6" t="n">
        <v>9</v>
      </c>
      <c r="B11" s="6" t="inlineStr">
        <is>
          <t>2026-07087</t>
        </is>
      </c>
      <c r="C11" s="7" t="inlineStr">
        <is>
          <t>Final Priority and Definitions-Secretary's Supplemental Priority and Definitions on Advancing Artifi</t>
        </is>
      </c>
      <c r="D11" s="6" t="inlineStr">
        <is>
          <t>education-department</t>
        </is>
      </c>
      <c r="E11" s="6" t="inlineStr">
        <is>
          <t>Rule</t>
        </is>
      </c>
      <c r="F11" s="6" t="inlineStr">
        <is>
          <t>2026-04-13</t>
        </is>
      </c>
      <c r="G11" s="8" t="inlineStr">
        <is>
          <t>N</t>
        </is>
      </c>
      <c r="H11" s="9" t="n">
        <v>0.58</v>
      </c>
      <c r="I11" s="10" t="inlineStr">
        <is>
          <t>611</t>
        </is>
      </c>
      <c r="J11" s="10" t="inlineStr">
        <is>
          <t>XLY</t>
        </is>
      </c>
      <c r="K11" s="11" t="n">
        <v>1</v>
      </c>
      <c r="L11" s="12" t="n"/>
      <c r="M11" s="12" t="n"/>
      <c r="N11" s="12" t="n"/>
      <c r="O11" s="13">
        <f>IF(L11="","",IF(I11=L11,"EXACT",IF(ISNUMBER(SEARCH(LEFT(I11,3),L11)),"PARTIAL","MISS")))</f>
        <v/>
      </c>
      <c r="P11" s="13">
        <f>IF(M11="","",IF(J11=M11,"EXACT","REVIEW"))</f>
        <v/>
      </c>
      <c r="Q11" s="13">
        <f>IF(OR(L11="",M11=""),"",IF(AND(O11="EXACT",P11="EXACT"),"PASS","REVIEW"))</f>
        <v/>
      </c>
    </row>
    <row r="12">
      <c r="A12" s="6" t="n">
        <v>10</v>
      </c>
      <c r="B12" s="6" t="inlineStr">
        <is>
          <t>2026-06438</t>
        </is>
      </c>
      <c r="C12" s="7" t="inlineStr">
        <is>
          <t>Proposed Waivers and Extensions of the Project Period With Funding for the American Indian Vocationa</t>
        </is>
      </c>
      <c r="D12" s="6" t="inlineStr">
        <is>
          <t>education-department</t>
        </is>
      </c>
      <c r="E12" s="6" t="inlineStr">
        <is>
          <t>Proposed Rule</t>
        </is>
      </c>
      <c r="F12" s="6" t="inlineStr">
        <is>
          <t>2026-04-02</t>
        </is>
      </c>
      <c r="G12" s="8" t="inlineStr">
        <is>
          <t>N</t>
        </is>
      </c>
      <c r="H12" s="9" t="n">
        <v>0.67</v>
      </c>
      <c r="I12" s="10" t="inlineStr">
        <is>
          <t>611</t>
        </is>
      </c>
      <c r="J12" s="10" t="inlineStr">
        <is>
          <t>XLY</t>
        </is>
      </c>
      <c r="K12" s="11" t="n">
        <v>1</v>
      </c>
      <c r="L12" s="12" t="n"/>
      <c r="M12" s="12" t="n"/>
      <c r="N12" s="12" t="n"/>
      <c r="O12" s="13">
        <f>IF(L12="","",IF(I12=L12,"EXACT",IF(ISNUMBER(SEARCH(LEFT(I12,3),L12)),"PARTIAL","MISS")))</f>
        <v/>
      </c>
      <c r="P12" s="13">
        <f>IF(M12="","",IF(J12=M12,"EXACT","REVIEW"))</f>
        <v/>
      </c>
      <c r="Q12" s="13">
        <f>IF(OR(L12="",M12=""),"",IF(AND(O12="EXACT",P12="EXACT"),"PASS","REVIEW"))</f>
        <v/>
      </c>
    </row>
    <row r="13">
      <c r="A13" s="6" t="n">
        <v>11</v>
      </c>
      <c r="B13" s="6" t="inlineStr">
        <is>
          <t>2026-06937</t>
        </is>
      </c>
      <c r="C13" s="7" t="inlineStr">
        <is>
          <t>Air Plan Approval and Air Quality Designation; Ohio; Attainment Plan and Redesignation of the Canton</t>
        </is>
      </c>
      <c r="D13" s="6" t="inlineStr">
        <is>
          <t>environmental-protection-agency</t>
        </is>
      </c>
      <c r="E13" s="6" t="inlineStr">
        <is>
          <t>Proposed Rule</t>
        </is>
      </c>
      <c r="F13" s="6" t="inlineStr">
        <is>
          <t>2026-04-10</t>
        </is>
      </c>
      <c r="G13" s="8" t="inlineStr">
        <is>
          <t>N</t>
        </is>
      </c>
      <c r="H13" s="9" t="n">
        <v>0.33</v>
      </c>
      <c r="I13" s="10" t="inlineStr">
        <is>
          <t>211, 212, 221, 322, 324, 325, 562</t>
        </is>
      </c>
      <c r="J13" s="10" t="inlineStr">
        <is>
          <t>IBB, ICLN, IHI, LIT, MOO, OIH, PHO, TAN, XBI, XLB, XLE, XLI, XLP, XLU, XLV, XME, XOP</t>
        </is>
      </c>
      <c r="K13" s="11" t="n">
        <v>17</v>
      </c>
      <c r="L13" s="12" t="n"/>
      <c r="M13" s="12" t="n"/>
      <c r="N13" s="12" t="n"/>
      <c r="O13" s="13">
        <f>IF(L13="","",IF(I13=L13,"EXACT",IF(ISNUMBER(SEARCH(LEFT(I13,3),L13)),"PARTIAL","MISS")))</f>
        <v/>
      </c>
      <c r="P13" s="13">
        <f>IF(M13="","",IF(J13=M13,"EXACT","REVIEW"))</f>
        <v/>
      </c>
      <c r="Q13" s="13">
        <f>IF(OR(L13="",M13=""),"",IF(AND(O13="EXACT",P13="EXACT"),"PASS","REVIEW"))</f>
        <v/>
      </c>
    </row>
    <row r="14">
      <c r="A14" s="6" t="n">
        <v>12</v>
      </c>
      <c r="B14" s="6" t="inlineStr">
        <is>
          <t>2026-06940</t>
        </is>
      </c>
      <c r="C14" s="7" t="inlineStr">
        <is>
          <t>Air Plan Approval; Ohio; Source-Specific Non-CTG RACT for Ohio</t>
        </is>
      </c>
      <c r="D14" s="6" t="inlineStr">
        <is>
          <t>environmental-protection-agency</t>
        </is>
      </c>
      <c r="E14" s="6" t="inlineStr">
        <is>
          <t>Proposed Rule</t>
        </is>
      </c>
      <c r="F14" s="6" t="inlineStr">
        <is>
          <t>2026-04-10</t>
        </is>
      </c>
      <c r="G14" s="8" t="inlineStr">
        <is>
          <t>N</t>
        </is>
      </c>
      <c r="H14" s="9" t="n">
        <v>0.33</v>
      </c>
      <c r="I14" s="10" t="inlineStr">
        <is>
          <t>211, 212, 221, 322, 324, 325, 562</t>
        </is>
      </c>
      <c r="J14" s="10" t="inlineStr">
        <is>
          <t>IBB, ICLN, IHI, LIT, MOO, OIH, PHO, TAN, XBI, XLB, XLE, XLI, XLP, XLU, XLV, XME, XOP</t>
        </is>
      </c>
      <c r="K14" s="11" t="n">
        <v>17</v>
      </c>
      <c r="L14" s="12" t="n"/>
      <c r="M14" s="12" t="n"/>
      <c r="N14" s="12" t="n"/>
      <c r="O14" s="13">
        <f>IF(L14="","",IF(I14=L14,"EXACT",IF(ISNUMBER(SEARCH(LEFT(I14,3),L14)),"PARTIAL","MISS")))</f>
        <v/>
      </c>
      <c r="P14" s="13">
        <f>IF(M14="","",IF(J14=M14,"EXACT","REVIEW"))</f>
        <v/>
      </c>
      <c r="Q14" s="13">
        <f>IF(OR(L14="",M14=""),"",IF(AND(O14="EXACT",P14="EXACT"),"PASS","REVIEW"))</f>
        <v/>
      </c>
    </row>
    <row r="15">
      <c r="A15" s="6" t="n">
        <v>13</v>
      </c>
      <c r="B15" s="6" t="inlineStr">
        <is>
          <t>2026-06196</t>
        </is>
      </c>
      <c r="C15" s="7" t="inlineStr">
        <is>
          <t>General Reclamation Requirements</t>
        </is>
      </c>
      <c r="D15" s="6" t="inlineStr">
        <is>
          <t>interior-department</t>
        </is>
      </c>
      <c r="E15" s="6" t="inlineStr">
        <is>
          <t>Rule</t>
        </is>
      </c>
      <c r="F15" s="6" t="inlineStr">
        <is>
          <t>2026-03-31</t>
        </is>
      </c>
      <c r="G15" s="8" t="inlineStr">
        <is>
          <t>N</t>
        </is>
      </c>
      <c r="H15" s="9" t="n">
        <v>0.42</v>
      </c>
      <c r="I15" s="10" t="inlineStr">
        <is>
          <t>212</t>
        </is>
      </c>
      <c r="J15" s="10" t="inlineStr">
        <is>
          <t>LIT, XLB, XME</t>
        </is>
      </c>
      <c r="K15" s="11" t="n">
        <v>3</v>
      </c>
      <c r="L15" s="12" t="n"/>
      <c r="M15" s="12" t="n"/>
      <c r="N15" s="12" t="n"/>
      <c r="O15" s="13">
        <f>IF(L15="","",IF(I15=L15,"EXACT",IF(ISNUMBER(SEARCH(LEFT(I15,3),L15)),"PARTIAL","MISS")))</f>
        <v/>
      </c>
      <c r="P15" s="13">
        <f>IF(M15="","",IF(J15=M15,"EXACT","REVIEW"))</f>
        <v/>
      </c>
      <c r="Q15" s="13">
        <f>IF(OR(L15="",M15=""),"",IF(AND(O15="EXACT",P15="EXACT"),"PASS","REVIEW"))</f>
        <v/>
      </c>
    </row>
    <row r="16">
      <c r="A16" s="6" t="n">
        <v>14</v>
      </c>
      <c r="B16" s="6" t="inlineStr">
        <is>
          <t>2026-05976</t>
        </is>
      </c>
      <c r="C16" s="7" t="inlineStr">
        <is>
          <t>Marine Mammals; Incidental Take of Northern Sea Otters During Specified Activities; Seward, Sitka, a</t>
        </is>
      </c>
      <c r="D16" s="6" t="inlineStr">
        <is>
          <t>interior-department</t>
        </is>
      </c>
      <c r="E16" s="6" t="inlineStr">
        <is>
          <t>Rule</t>
        </is>
      </c>
      <c r="F16" s="6" t="inlineStr">
        <is>
          <t>2026-03-27</t>
        </is>
      </c>
      <c r="G16" s="8" t="inlineStr">
        <is>
          <t>N</t>
        </is>
      </c>
      <c r="H16" s="9" t="n">
        <v>0.08</v>
      </c>
      <c r="I16" s="10" t="inlineStr">
        <is>
          <t>114, 112</t>
        </is>
      </c>
      <c r="J16" s="10" t="inlineStr">
        <is>
          <t>MOO</t>
        </is>
      </c>
      <c r="K16" s="11" t="n">
        <v>1</v>
      </c>
      <c r="L16" s="12" t="n"/>
      <c r="M16" s="12" t="n"/>
      <c r="N16" s="12" t="n"/>
      <c r="O16" s="13">
        <f>IF(L16="","",IF(I16=L16,"EXACT",IF(ISNUMBER(SEARCH(LEFT(I16,3),L16)),"PARTIAL","MISS")))</f>
        <v/>
      </c>
      <c r="P16" s="13">
        <f>IF(M16="","",IF(J16=M16,"EXACT","REVIEW"))</f>
        <v/>
      </c>
      <c r="Q16" s="13">
        <f>IF(OR(L16="",M16=""),"",IF(AND(O16="EXACT",P16="EXACT"),"PASS","REVIEW"))</f>
        <v/>
      </c>
    </row>
    <row r="17">
      <c r="A17" s="6" t="n">
        <v>15</v>
      </c>
      <c r="B17" s="6" t="inlineStr">
        <is>
          <t>2026-06996</t>
        </is>
      </c>
      <c r="C17" s="7" t="inlineStr">
        <is>
          <t>Collection of Checks and Other Items by Federal Reserve Banks and Funds Transfers Through the Fedwir</t>
        </is>
      </c>
      <c r="D17" s="6" t="inlineStr">
        <is>
          <t>federal-reserve-system</t>
        </is>
      </c>
      <c r="E17" s="6" t="inlineStr">
        <is>
          <t>Proposed Rule</t>
        </is>
      </c>
      <c r="F17" s="6" t="inlineStr">
        <is>
          <t>2026-04-10</t>
        </is>
      </c>
      <c r="G17" s="8" t="inlineStr">
        <is>
          <t>N</t>
        </is>
      </c>
      <c r="H17" s="9" t="n">
        <v>0.33</v>
      </c>
      <c r="I17" s="10" t="inlineStr">
        <is>
          <t>522, 523</t>
        </is>
      </c>
      <c r="J17" s="10" t="inlineStr">
        <is>
          <t>IAI, KIE, KRE, XLF</t>
        </is>
      </c>
      <c r="K17" s="11" t="n">
        <v>4</v>
      </c>
      <c r="L17" s="12" t="n"/>
      <c r="M17" s="12" t="n"/>
      <c r="N17" s="12" t="n"/>
      <c r="O17" s="13">
        <f>IF(L17="","",IF(I17=L17,"EXACT",IF(ISNUMBER(SEARCH(LEFT(I17,3),L17)),"PARTIAL","MISS")))</f>
        <v/>
      </c>
      <c r="P17" s="13">
        <f>IF(M17="","",IF(J17=M17,"EXACT","REVIEW"))</f>
        <v/>
      </c>
      <c r="Q17" s="13">
        <f>IF(OR(L17="",M17=""),"",IF(AND(O17="EXACT",P17="EXACT"),"PASS","REVIEW"))</f>
        <v/>
      </c>
    </row>
    <row r="18">
      <c r="A18" s="6" t="n">
        <v>16</v>
      </c>
      <c r="B18" s="6" t="inlineStr">
        <is>
          <t>2026-05961</t>
        </is>
      </c>
      <c r="C18" s="7" t="inlineStr">
        <is>
          <t>Regulatory Capital Rule (Regulation Q): Risk-Based Capital Surcharges for Global Systemically Import</t>
        </is>
      </c>
      <c r="D18" s="6" t="inlineStr">
        <is>
          <t>federal-reserve-system</t>
        </is>
      </c>
      <c r="E18" s="6" t="inlineStr">
        <is>
          <t>Proposed Rule</t>
        </is>
      </c>
      <c r="F18" s="6" t="inlineStr">
        <is>
          <t>2026-03-27</t>
        </is>
      </c>
      <c r="G18" s="8" t="inlineStr">
        <is>
          <t>N</t>
        </is>
      </c>
      <c r="H18" s="9" t="n">
        <v>0.08</v>
      </c>
      <c r="I18" s="10" t="inlineStr">
        <is>
          <t>522, 523</t>
        </is>
      </c>
      <c r="J18" s="10" t="inlineStr">
        <is>
          <t>IAI, KIE, KRE, XLF</t>
        </is>
      </c>
      <c r="K18" s="11" t="n">
        <v>4</v>
      </c>
      <c r="L18" s="12" t="n"/>
      <c r="M18" s="12" t="n"/>
      <c r="N18" s="12" t="n"/>
      <c r="O18" s="13">
        <f>IF(L18="","",IF(I18=L18,"EXACT",IF(ISNUMBER(SEARCH(LEFT(I18,3),L18)),"PARTIAL","MISS")))</f>
        <v/>
      </c>
      <c r="P18" s="13">
        <f>IF(M18="","",IF(J18=M18,"EXACT","REVIEW"))</f>
        <v/>
      </c>
      <c r="Q18" s="13">
        <f>IF(OR(L18="",M18=""),"",IF(AND(O18="EXACT",P18="EXACT"),"PASS","REVIEW"))</f>
        <v/>
      </c>
    </row>
    <row r="19">
      <c r="A19" s="6" t="n">
        <v>17</v>
      </c>
      <c r="B19" s="6" t="inlineStr">
        <is>
          <t>2026-06776</t>
        </is>
      </c>
      <c r="C19" s="7" t="inlineStr">
        <is>
          <t>Fisheries of the Northeastern United States; Summer Flounder Fishery; Quota Transfer From North Caro</t>
        </is>
      </c>
      <c r="D19" s="6" t="inlineStr">
        <is>
          <t>commerce-department</t>
        </is>
      </c>
      <c r="E19" s="6" t="inlineStr">
        <is>
          <t>Rule</t>
        </is>
      </c>
      <c r="F19" s="6" t="inlineStr">
        <is>
          <t>2026-04-08</t>
        </is>
      </c>
      <c r="G19" s="8" t="inlineStr">
        <is>
          <t>N</t>
        </is>
      </c>
      <c r="H19" s="9" t="n">
        <v>0.5</v>
      </c>
      <c r="I19" s="10" t="inlineStr">
        <is>
          <t>114, 112</t>
        </is>
      </c>
      <c r="J19" s="10" t="inlineStr">
        <is>
          <t>MOO</t>
        </is>
      </c>
      <c r="K19" s="11" t="n">
        <v>1</v>
      </c>
      <c r="L19" s="12" t="n"/>
      <c r="M19" s="12" t="n"/>
      <c r="N19" s="12" t="n"/>
      <c r="O19" s="13">
        <f>IF(L19="","",IF(I19=L19,"EXACT",IF(ISNUMBER(SEARCH(LEFT(I19,3),L19)),"PARTIAL","MISS")))</f>
        <v/>
      </c>
      <c r="P19" s="13">
        <f>IF(M19="","",IF(J19=M19,"EXACT","REVIEW"))</f>
        <v/>
      </c>
      <c r="Q19" s="13">
        <f>IF(OR(L19="",M19=""),"",IF(AND(O19="EXACT",P19="EXACT"),"PASS","REVIEW"))</f>
        <v/>
      </c>
    </row>
    <row r="20">
      <c r="A20" s="6" t="n">
        <v>18</v>
      </c>
      <c r="B20" s="6" t="inlineStr">
        <is>
          <t>2026-06382</t>
        </is>
      </c>
      <c r="C20" s="7" t="inlineStr">
        <is>
          <t>Commerce Acquisition Regulation; Minor Amendments</t>
        </is>
      </c>
      <c r="D20" s="6" t="inlineStr">
        <is>
          <t>commerce-department</t>
        </is>
      </c>
      <c r="E20" s="6" t="inlineStr">
        <is>
          <t>Rule</t>
        </is>
      </c>
      <c r="F20" s="6" t="inlineStr">
        <is>
          <t>2026-04-02</t>
        </is>
      </c>
      <c r="G20" s="8" t="inlineStr">
        <is>
          <t>N</t>
        </is>
      </c>
      <c r="H20" s="9" t="n">
        <v>0.67</v>
      </c>
      <c r="I20" s="10" t="inlineStr">
        <is>
          <t>3364, 5415, 334, 928</t>
        </is>
      </c>
      <c r="J20" s="10" t="inlineStr">
        <is>
          <t>CIBR, HACK, ICLN, IHI, ITA, IYZ, JETS, LIT, SMH, TAN, XLI, XLK</t>
        </is>
      </c>
      <c r="K20" s="11" t="n">
        <v>12</v>
      </c>
      <c r="L20" s="12" t="n"/>
      <c r="M20" s="12" t="n"/>
      <c r="N20" s="12" t="n"/>
      <c r="O20" s="13">
        <f>IF(L20="","",IF(I20=L20,"EXACT",IF(ISNUMBER(SEARCH(LEFT(I20,3),L20)),"PARTIAL","MISS")))</f>
        <v/>
      </c>
      <c r="P20" s="13">
        <f>IF(M20="","",IF(J20=M20,"EXACT","REVIEW"))</f>
        <v/>
      </c>
      <c r="Q20" s="13">
        <f>IF(OR(L20="",M20=""),"",IF(AND(O20="EXACT",P20="EXACT"),"PASS","REVIEW"))</f>
        <v/>
      </c>
    </row>
    <row r="21">
      <c r="A21" s="6" t="n">
        <v>19</v>
      </c>
      <c r="B21" s="6" t="inlineStr">
        <is>
          <t>2026-06239</t>
        </is>
      </c>
      <c r="C21" s="7" t="inlineStr">
        <is>
          <t>Review of the Commission's Rules Governing the 896-901/935-940 MHz Band</t>
        </is>
      </c>
      <c r="D21" s="6" t="inlineStr">
        <is>
          <t>federal-communications-commission</t>
        </is>
      </c>
      <c r="E21" s="6" t="inlineStr">
        <is>
          <t>Rule</t>
        </is>
      </c>
      <c r="F21" s="6" t="inlineStr">
        <is>
          <t>2026-03-31</t>
        </is>
      </c>
      <c r="G21" s="8" t="inlineStr">
        <is>
          <t>N</t>
        </is>
      </c>
      <c r="H21" s="9" t="n">
        <v>0.42</v>
      </c>
      <c r="I21" s="10" t="inlineStr">
        <is>
          <t>517, 515, 518</t>
        </is>
      </c>
      <c r="J21" s="10" t="inlineStr">
        <is>
          <t>CIBR, HACK, IYZ, XLC, XLK</t>
        </is>
      </c>
      <c r="K21" s="11" t="n">
        <v>5</v>
      </c>
      <c r="L21" s="12" t="n"/>
      <c r="M21" s="12" t="n"/>
      <c r="N21" s="12" t="n"/>
      <c r="O21" s="13">
        <f>IF(L21="","",IF(I21=L21,"EXACT",IF(ISNUMBER(SEARCH(LEFT(I21,3),L21)),"PARTIAL","MISS")))</f>
        <v/>
      </c>
      <c r="P21" s="13">
        <f>IF(M21="","",IF(J21=M21,"EXACT","REVIEW"))</f>
        <v/>
      </c>
      <c r="Q21" s="13">
        <f>IF(OR(L21="",M21=""),"",IF(AND(O21="EXACT",P21="EXACT"),"PASS","REVIEW"))</f>
        <v/>
      </c>
    </row>
    <row r="22">
      <c r="A22" s="6" t="n">
        <v>20</v>
      </c>
      <c r="B22" s="6" t="inlineStr">
        <is>
          <t>2026-06863</t>
        </is>
      </c>
      <c r="C22" s="7" t="inlineStr">
        <is>
          <t>Modernizing Suspension and Debarment Rules</t>
        </is>
      </c>
      <c r="D22" s="6" t="inlineStr">
        <is>
          <t>federal-communications-commission</t>
        </is>
      </c>
      <c r="E22" s="6" t="inlineStr">
        <is>
          <t>Proposed Rule</t>
        </is>
      </c>
      <c r="F22" s="6" t="inlineStr">
        <is>
          <t>2026-04-09</t>
        </is>
      </c>
      <c r="G22" s="8" t="inlineStr">
        <is>
          <t>N</t>
        </is>
      </c>
      <c r="H22" s="9" t="n">
        <v>0.42</v>
      </c>
      <c r="I22" s="10" t="inlineStr">
        <is>
          <t>517, 515, 518</t>
        </is>
      </c>
      <c r="J22" s="10" t="inlineStr">
        <is>
          <t>CIBR, HACK, IYZ, XLC, XLK</t>
        </is>
      </c>
      <c r="K22" s="11" t="n">
        <v>5</v>
      </c>
      <c r="L22" s="12" t="n"/>
      <c r="M22" s="12" t="n"/>
      <c r="N22" s="12" t="n"/>
      <c r="O22" s="13">
        <f>IF(L22="","",IF(I22=L22,"EXACT",IF(ISNUMBER(SEARCH(LEFT(I22,3),L22)),"PARTIAL","MISS")))</f>
        <v/>
      </c>
      <c r="P22" s="13">
        <f>IF(M22="","",IF(J22=M22,"EXACT","REVIEW"))</f>
        <v/>
      </c>
      <c r="Q22" s="13">
        <f>IF(OR(L22="",M22=""),"",IF(AND(O22="EXACT",P22="EXACT"),"PASS","REVIEW"))</f>
        <v/>
      </c>
    </row>
    <row r="23">
      <c r="A23" s="6" t="n">
        <v>21</v>
      </c>
      <c r="B23" s="6" t="inlineStr">
        <is>
          <t>2026-06974</t>
        </is>
      </c>
      <c r="C23" s="7" t="inlineStr">
        <is>
          <t>GENIUS Act Requirements and Standards for FDIC-Supervised Permitted Payment Stablecoin Issuers and I</t>
        </is>
      </c>
      <c r="D23" s="6" t="inlineStr">
        <is>
          <t>federal-deposit-insurance-corporation</t>
        </is>
      </c>
      <c r="E23" s="6" t="inlineStr">
        <is>
          <t>Proposed Rule</t>
        </is>
      </c>
      <c r="F23" s="6" t="inlineStr">
        <is>
          <t>2026-04-10</t>
        </is>
      </c>
      <c r="G23" s="8" t="inlineStr">
        <is>
          <t>N</t>
        </is>
      </c>
      <c r="H23" s="9" t="n">
        <v>0.33</v>
      </c>
      <c r="I23" s="10" t="inlineStr">
        <is>
          <t>522, 5223, 523</t>
        </is>
      </c>
      <c r="J23" s="10" t="inlineStr">
        <is>
          <t>IAI, KIE, KRE, XLF</t>
        </is>
      </c>
      <c r="K23" s="11" t="n">
        <v>4</v>
      </c>
      <c r="L23" s="12" t="n"/>
      <c r="M23" s="12" t="n"/>
      <c r="N23" s="12" t="n"/>
      <c r="O23" s="13">
        <f>IF(L23="","",IF(I23=L23,"EXACT",IF(ISNUMBER(SEARCH(LEFT(I23,3),L23)),"PARTIAL","MISS")))</f>
        <v/>
      </c>
      <c r="P23" s="13">
        <f>IF(M23="","",IF(J23=M23,"EXACT","REVIEW"))</f>
        <v/>
      </c>
      <c r="Q23" s="13">
        <f>IF(OR(L23="",M23=""),"",IF(AND(O23="EXACT",P23="EXACT"),"PASS","REVIEW"))</f>
        <v/>
      </c>
    </row>
    <row r="24">
      <c r="A24" s="6" t="n">
        <v>22</v>
      </c>
      <c r="B24" s="6" t="inlineStr">
        <is>
          <t>2026-06949</t>
        </is>
      </c>
      <c r="C24" s="7" t="inlineStr">
        <is>
          <t>Privacy Act of 1974; Implementation</t>
        </is>
      </c>
      <c r="D24" s="6" t="inlineStr">
        <is>
          <t>defense-department</t>
        </is>
      </c>
      <c r="E24" s="6" t="inlineStr">
        <is>
          <t>Proposed Rule</t>
        </is>
      </c>
      <c r="F24" s="6" t="inlineStr">
        <is>
          <t>2026-04-10</t>
        </is>
      </c>
      <c r="G24" s="8" t="inlineStr">
        <is>
          <t>N</t>
        </is>
      </c>
      <c r="H24" s="9" t="n">
        <v>0.33</v>
      </c>
      <c r="I24" s="10" t="inlineStr">
        <is>
          <t>3364, 928, 334, 5415</t>
        </is>
      </c>
      <c r="J24" s="10" t="inlineStr">
        <is>
          <t>CIBR, HACK, ICLN, IHI, ITA, IYZ, JETS, LIT, SMH, TAN, XLI, XLK</t>
        </is>
      </c>
      <c r="K24" s="11" t="n">
        <v>12</v>
      </c>
      <c r="L24" s="12" t="n"/>
      <c r="M24" s="12" t="n"/>
      <c r="N24" s="12" t="n"/>
      <c r="O24" s="13">
        <f>IF(L24="","",IF(I24=L24,"EXACT",IF(ISNUMBER(SEARCH(LEFT(I24,3),L24)),"PARTIAL","MISS")))</f>
        <v/>
      </c>
      <c r="P24" s="13">
        <f>IF(M24="","",IF(J24=M24,"EXACT","REVIEW"))</f>
        <v/>
      </c>
      <c r="Q24" s="13">
        <f>IF(OR(L24="",M24=""),"",IF(AND(O24="EXACT",P24="EXACT"),"PASS","REVIEW"))</f>
        <v/>
      </c>
    </row>
    <row r="25">
      <c r="A25" s="6" t="n">
        <v>23</v>
      </c>
      <c r="B25" s="6" t="inlineStr">
        <is>
          <t>2026-06757</t>
        </is>
      </c>
      <c r="C25" s="7" t="inlineStr">
        <is>
          <t>Chartering and Field of Membership</t>
        </is>
      </c>
      <c r="D25" s="6" t="inlineStr">
        <is>
          <t>national-credit-union-administration</t>
        </is>
      </c>
      <c r="E25" s="6" t="inlineStr">
        <is>
          <t>Proposed Rule</t>
        </is>
      </c>
      <c r="F25" s="6" t="inlineStr">
        <is>
          <t>2026-04-08</t>
        </is>
      </c>
      <c r="G25" s="8" t="inlineStr">
        <is>
          <t>N</t>
        </is>
      </c>
      <c r="H25" s="9" t="n">
        <v>0.5</v>
      </c>
      <c r="I25" s="10" t="inlineStr">
        <is>
          <t>522, 523</t>
        </is>
      </c>
      <c r="J25" s="10" t="inlineStr">
        <is>
          <t>IAI, KIE, KRE, XLF</t>
        </is>
      </c>
      <c r="K25" s="11" t="n">
        <v>4</v>
      </c>
      <c r="L25" s="12" t="n"/>
      <c r="M25" s="12" t="n"/>
      <c r="N25" s="12" t="n"/>
      <c r="O25" s="13">
        <f>IF(L25="","",IF(I25=L25,"EXACT",IF(ISNUMBER(SEARCH(LEFT(I25,3),L25)),"PARTIAL","MISS")))</f>
        <v/>
      </c>
      <c r="P25" s="13">
        <f>IF(M25="","",IF(J25=M25,"EXACT","REVIEW"))</f>
        <v/>
      </c>
      <c r="Q25" s="13">
        <f>IF(OR(L25="",M25=""),"",IF(AND(O25="EXACT",P25="EXACT"),"PASS","REVIEW"))</f>
        <v/>
      </c>
    </row>
    <row r="26">
      <c r="A26" s="6" t="n">
        <v>24</v>
      </c>
      <c r="B26" s="6" t="inlineStr">
        <is>
          <t>2026-06064</t>
        </is>
      </c>
      <c r="C26" s="7" t="inlineStr">
        <is>
          <t>Microbiology Devices; Reclassification of Mycobacterium Tuberculosis Cell-Mediated Immunity Tests an</t>
        </is>
      </c>
      <c r="D26" s="6" t="inlineStr">
        <is>
          <t>health-and-human-services-department</t>
        </is>
      </c>
      <c r="E26" s="6" t="inlineStr">
        <is>
          <t>Proposed Rule</t>
        </is>
      </c>
      <c r="F26" s="6" t="inlineStr">
        <is>
          <t>2026-03-30</t>
        </is>
      </c>
      <c r="G26" s="8" t="inlineStr">
        <is>
          <t>N</t>
        </is>
      </c>
      <c r="H26" s="9" t="n">
        <v>0.33</v>
      </c>
      <c r="I26" s="10" t="inlineStr">
        <is>
          <t>3254, 3391, 311</t>
        </is>
      </c>
      <c r="J26" s="10" t="inlineStr">
        <is>
          <t>IBB, IHI, LIT, MOO, PHO, XBI, XLB, XLP, XLV</t>
        </is>
      </c>
      <c r="K26" s="11" t="n">
        <v>9</v>
      </c>
      <c r="L26" s="12" t="n"/>
      <c r="M26" s="12" t="n"/>
      <c r="N26" s="12" t="n"/>
      <c r="O26" s="13">
        <f>IF(L26="","",IF(I26=L26,"EXACT",IF(ISNUMBER(SEARCH(LEFT(I26,3),L26)),"PARTIAL","MISS")))</f>
        <v/>
      </c>
      <c r="P26" s="13">
        <f>IF(M26="","",IF(J26=M26,"EXACT","REVIEW"))</f>
        <v/>
      </c>
      <c r="Q26" s="13">
        <f>IF(OR(L26="",M26=""),"",IF(AND(O26="EXACT",P26="EXACT"),"PASS","REVIEW"))</f>
        <v/>
      </c>
    </row>
    <row r="27">
      <c r="A27" s="6" t="n">
        <v>25</v>
      </c>
      <c r="B27" s="6" t="inlineStr">
        <is>
          <t>2026-06604</t>
        </is>
      </c>
      <c r="C27" s="7" t="inlineStr">
        <is>
          <t>Medicare Program; FY 2027 Hospice Wage Index and Payment Rate Update and Hospice Quality Reporting P</t>
        </is>
      </c>
      <c r="D27" s="6" t="inlineStr">
        <is>
          <t>health-and-human-services-department</t>
        </is>
      </c>
      <c r="E27" s="6" t="inlineStr">
        <is>
          <t>Proposed Rule</t>
        </is>
      </c>
      <c r="F27" s="6" t="inlineStr">
        <is>
          <t>2026-04-06</t>
        </is>
      </c>
      <c r="G27" s="8" t="inlineStr">
        <is>
          <t>N</t>
        </is>
      </c>
      <c r="H27" s="9" t="n">
        <v>0.4</v>
      </c>
      <c r="I27" s="10" t="inlineStr">
        <is>
          <t>621, 622, 524</t>
        </is>
      </c>
      <c r="J27" s="10" t="inlineStr">
        <is>
          <t>IBB, IHF, KIE, KRE, XLF, XLV</t>
        </is>
      </c>
      <c r="K27" s="11" t="n">
        <v>6</v>
      </c>
      <c r="L27" s="12" t="n"/>
      <c r="M27" s="12" t="n"/>
      <c r="N27" s="12" t="n"/>
      <c r="O27" s="13">
        <f>IF(L27="","",IF(I27=L27,"EXACT",IF(ISNUMBER(SEARCH(LEFT(I27,3),L27)),"PARTIAL","MISS")))</f>
        <v/>
      </c>
      <c r="P27" s="13">
        <f>IF(M27="","",IF(J27=M27,"EXACT","REVIEW"))</f>
        <v/>
      </c>
      <c r="Q27" s="13">
        <f>IF(OR(L27="",M27=""),"",IF(AND(O27="EXACT",P27="EXACT"),"PASS","REVIEW"))</f>
        <v/>
      </c>
    </row>
    <row r="28">
      <c r="A28" s="6" t="n">
        <v>26</v>
      </c>
      <c r="B28" s="6" t="inlineStr">
        <is>
          <t>2026-06619</t>
        </is>
      </c>
      <c r="C28" s="7" t="inlineStr">
        <is>
          <t>Special Local Regulation; 4th of July Fireworks, East River and Upper New York Bay, Manhattan, Queen</t>
        </is>
      </c>
      <c r="D28" s="6" t="inlineStr">
        <is>
          <t>homeland-security-department</t>
        </is>
      </c>
      <c r="E28" s="6" t="inlineStr">
        <is>
          <t>Proposed Rule</t>
        </is>
      </c>
      <c r="F28" s="6" t="inlineStr">
        <is>
          <t>2026-04-06</t>
        </is>
      </c>
      <c r="G28" s="8" t="inlineStr">
        <is>
          <t>N</t>
        </is>
      </c>
      <c r="H28" s="9" t="n">
        <v>0.4</v>
      </c>
      <c r="I28" s="10" t="inlineStr">
        <is>
          <t>483</t>
        </is>
      </c>
      <c r="J28" s="10" t="inlineStr">
        <is>
          <t>IYT</t>
        </is>
      </c>
      <c r="K28" s="11" t="n">
        <v>1</v>
      </c>
      <c r="L28" s="12" t="n"/>
      <c r="M28" s="12" t="n"/>
      <c r="N28" s="12" t="n"/>
      <c r="O28" s="13">
        <f>IF(L28="","",IF(I28=L28,"EXACT",IF(ISNUMBER(SEARCH(LEFT(I28,3),L28)),"PARTIAL","MISS")))</f>
        <v/>
      </c>
      <c r="P28" s="13">
        <f>IF(M28="","",IF(J28=M28,"EXACT","REVIEW"))</f>
        <v/>
      </c>
      <c r="Q28" s="13">
        <f>IF(OR(L28="",M28=""),"",IF(AND(O28="EXACT",P28="EXACT"),"PASS","REVIEW"))</f>
        <v/>
      </c>
    </row>
    <row r="29">
      <c r="A29" s="6" t="n">
        <v>27</v>
      </c>
      <c r="B29" s="6" t="inlineStr">
        <is>
          <t>2026-06578</t>
        </is>
      </c>
      <c r="C29" s="7" t="inlineStr">
        <is>
          <t>Walking-Working Surfaces</t>
        </is>
      </c>
      <c r="D29" s="6" t="inlineStr">
        <is>
          <t>labor-department</t>
        </is>
      </c>
      <c r="E29" s="6" t="inlineStr">
        <is>
          <t>Proposed Rule</t>
        </is>
      </c>
      <c r="F29" s="6" t="inlineStr">
        <is>
          <t>2026-04-06</t>
        </is>
      </c>
      <c r="G29" s="8" t="inlineStr">
        <is>
          <t>N</t>
        </is>
      </c>
      <c r="H29" s="9" t="n">
        <v>0.4</v>
      </c>
      <c r="I29" s="10" t="inlineStr">
        <is>
          <t>236, 331</t>
        </is>
      </c>
      <c r="J29" s="10" t="inlineStr">
        <is>
          <t>LIT, XHB, XLB, XLI, XLRE, XME</t>
        </is>
      </c>
      <c r="K29" s="11" t="n">
        <v>6</v>
      </c>
      <c r="L29" s="12" t="n"/>
      <c r="M29" s="12" t="n"/>
      <c r="N29" s="12" t="n"/>
      <c r="O29" s="13">
        <f>IF(L29="","",IF(I29=L29,"EXACT",IF(ISNUMBER(SEARCH(LEFT(I29,3),L29)),"PARTIAL","MISS")))</f>
        <v/>
      </c>
      <c r="P29" s="13">
        <f>IF(M29="","",IF(J29=M29,"EXACT","REVIEW"))</f>
        <v/>
      </c>
      <c r="Q29" s="13">
        <f>IF(OR(L29="",M29=""),"",IF(AND(O29="EXACT",P29="EXACT"),"PASS","REVIEW"))</f>
        <v/>
      </c>
    </row>
    <row r="30">
      <c r="A30" s="6" t="n">
        <v>28</v>
      </c>
      <c r="B30" s="6" t="inlineStr">
        <is>
          <t>2026-06178</t>
        </is>
      </c>
      <c r="C30" s="7" t="inlineStr">
        <is>
          <t>Fiduciary Duties in Selecting Designated Investment Alternatives</t>
        </is>
      </c>
      <c r="D30" s="6" t="inlineStr">
        <is>
          <t>labor-department</t>
        </is>
      </c>
      <c r="E30" s="6" t="inlineStr">
        <is>
          <t>Proposed Rule</t>
        </is>
      </c>
      <c r="F30" s="6" t="inlineStr">
        <is>
          <t>2026-03-31</t>
        </is>
      </c>
      <c r="G30" s="8" t="inlineStr">
        <is>
          <t>N</t>
        </is>
      </c>
      <c r="H30" s="9" t="n">
        <v>0.42</v>
      </c>
      <c r="I30" s="10" t="inlineStr">
        <is>
          <t>236, 331</t>
        </is>
      </c>
      <c r="J30" s="10" t="inlineStr">
        <is>
          <t>LIT, XHB, XLB, XLI, XLRE, XME</t>
        </is>
      </c>
      <c r="K30" s="11" t="n">
        <v>6</v>
      </c>
      <c r="L30" s="12" t="n"/>
      <c r="M30" s="12" t="n"/>
      <c r="N30" s="12" t="n"/>
      <c r="O30" s="13">
        <f>IF(L30="","",IF(I30=L30,"EXACT",IF(ISNUMBER(SEARCH(LEFT(I30,3),L30)),"PARTIAL","MISS")))</f>
        <v/>
      </c>
      <c r="P30" s="13">
        <f>IF(M30="","",IF(J30=M30,"EXACT","REVIEW"))</f>
        <v/>
      </c>
      <c r="Q30" s="13">
        <f>IF(OR(L30="",M30=""),"",IF(AND(O30="EXACT",P30="EXACT"),"PASS","REVIEW"))</f>
        <v/>
      </c>
    </row>
    <row r="31">
      <c r="A31" s="6" t="n">
        <v>29</v>
      </c>
      <c r="B31" s="6" t="inlineStr">
        <is>
          <t>2026-06556</t>
        </is>
      </c>
      <c r="C31" s="7" t="inlineStr">
        <is>
          <t>Allocation of Assets in Single-Employer Plans; Interest Assumptions for Valuing Benefits</t>
        </is>
      </c>
      <c r="D31" s="6" t="inlineStr">
        <is>
          <t>pension-benefit-guaranty-corporation</t>
        </is>
      </c>
      <c r="E31" s="6" t="inlineStr">
        <is>
          <t>Rule</t>
        </is>
      </c>
      <c r="F31" s="6" t="inlineStr">
        <is>
          <t>2026-04-03</t>
        </is>
      </c>
      <c r="G31" s="8" t="inlineStr">
        <is>
          <t>N</t>
        </is>
      </c>
      <c r="H31" s="9" t="n">
        <v>0.8</v>
      </c>
      <c r="I31" s="10" t="inlineStr">
        <is>
          <t>236, 331</t>
        </is>
      </c>
      <c r="J31" s="10" t="inlineStr">
        <is>
          <t>LIT, XHB, XLB, XLI, XLRE, XME</t>
        </is>
      </c>
      <c r="K31" s="11" t="n">
        <v>6</v>
      </c>
      <c r="L31" s="12" t="n"/>
      <c r="M31" s="12" t="n"/>
      <c r="N31" s="12" t="n"/>
      <c r="O31" s="13">
        <f>IF(L31="","",IF(I31=L31,"EXACT",IF(ISNUMBER(SEARCH(LEFT(I31,3),L31)),"PARTIAL","MISS")))</f>
        <v/>
      </c>
      <c r="P31" s="13">
        <f>IF(M31="","",IF(J31=M31,"EXACT","REVIEW"))</f>
        <v/>
      </c>
      <c r="Q31" s="13">
        <f>IF(OR(L31="",M31=""),"",IF(AND(O31="EXACT",P31="EXACT"),"PASS","REVIEW"))</f>
        <v/>
      </c>
    </row>
    <row r="32">
      <c r="A32" s="6" t="n">
        <v>30</v>
      </c>
      <c r="B32" s="6" t="inlineStr">
        <is>
          <t>2026-06553</t>
        </is>
      </c>
      <c r="C32" s="7" t="inlineStr">
        <is>
          <t>General Provisions</t>
        </is>
      </c>
      <c r="D32" s="6" t="inlineStr">
        <is>
          <t>farm-credit-administration</t>
        </is>
      </c>
      <c r="E32" s="6" t="inlineStr">
        <is>
          <t>Rule</t>
        </is>
      </c>
      <c r="F32" s="6" t="inlineStr">
        <is>
          <t>2026-04-03</t>
        </is>
      </c>
      <c r="G32" s="8" t="inlineStr">
        <is>
          <t>N</t>
        </is>
      </c>
      <c r="H32" s="9" t="n">
        <v>0.8</v>
      </c>
      <c r="I32" s="10" t="inlineStr">
        <is>
          <t>522, 523</t>
        </is>
      </c>
      <c r="J32" s="10" t="inlineStr">
        <is>
          <t>IAI, KIE, KRE, XLF</t>
        </is>
      </c>
      <c r="K32" s="11" t="n">
        <v>4</v>
      </c>
      <c r="L32" s="12" t="n"/>
      <c r="M32" s="12" t="n"/>
      <c r="N32" s="12" t="n"/>
      <c r="O32" s="13">
        <f>IF(L32="","",IF(I32=L32,"EXACT",IF(ISNUMBER(SEARCH(LEFT(I32,3),L32)),"PARTIAL","MISS")))</f>
        <v/>
      </c>
      <c r="P32" s="13">
        <f>IF(M32="","",IF(J32=M32,"EXACT","REVIEW"))</f>
        <v/>
      </c>
      <c r="Q32" s="13">
        <f>IF(OR(L32="",M32=""),"",IF(AND(O32="EXACT",P32="EXACT"),"PASS","REVIEW"))</f>
        <v/>
      </c>
    </row>
    <row r="33">
      <c r="A33" s="6" t="n">
        <v>31</v>
      </c>
      <c r="B33" s="6" t="inlineStr">
        <is>
          <t>2026-06523</t>
        </is>
      </c>
      <c r="C33" s="7" t="inlineStr">
        <is>
          <t>Designation of P2P Methyl Glycidic Acid as a List I Chemical</t>
        </is>
      </c>
      <c r="D33" s="6" t="inlineStr">
        <is>
          <t>justice-department</t>
        </is>
      </c>
      <c r="E33" s="6" t="inlineStr">
        <is>
          <t>Rule</t>
        </is>
      </c>
      <c r="F33" s="6" t="inlineStr">
        <is>
          <t>2026-04-03</t>
        </is>
      </c>
      <c r="G33" s="8" t="inlineStr">
        <is>
          <t>N</t>
        </is>
      </c>
      <c r="H33" s="9" t="n">
        <v>0.8</v>
      </c>
      <c r="I33" s="10" t="inlineStr">
        <is>
          <t>3254, 3391, 311</t>
        </is>
      </c>
      <c r="J33" s="10" t="inlineStr">
        <is>
          <t>IBB, IHI, LIT, MOO, PHO, XBI, XLB, XLP, XLV</t>
        </is>
      </c>
      <c r="K33" s="11" t="n">
        <v>9</v>
      </c>
      <c r="L33" s="12" t="n"/>
      <c r="M33" s="12" t="n"/>
      <c r="N33" s="12" t="n"/>
      <c r="O33" s="13">
        <f>IF(L33="","",IF(I33=L33,"EXACT",IF(ISNUMBER(SEARCH(LEFT(I33,3),L33)),"PARTIAL","MISS")))</f>
        <v/>
      </c>
      <c r="P33" s="13">
        <f>IF(M33="","",IF(J33=M33,"EXACT","REVIEW"))</f>
        <v/>
      </c>
      <c r="Q33" s="13">
        <f>IF(OR(L33="",M33=""),"",IF(AND(O33="EXACT",P33="EXACT"),"PASS","REVIEW"))</f>
        <v/>
      </c>
    </row>
    <row r="34">
      <c r="A34" s="6" t="n">
        <v>32</v>
      </c>
      <c r="B34" s="6" t="inlineStr">
        <is>
          <t>C1-2026-02288</t>
        </is>
      </c>
      <c r="C34" s="7" t="inlineStr">
        <is>
          <t>Registering Emergency Medical Services Agencies Under the Protecting Patient Access to Emergency Med</t>
        </is>
      </c>
      <c r="D34" s="6" t="inlineStr">
        <is>
          <t>justice-department</t>
        </is>
      </c>
      <c r="E34" s="6" t="inlineStr">
        <is>
          <t>Rule</t>
        </is>
      </c>
      <c r="F34" s="6" t="inlineStr">
        <is>
          <t>2026-04-01</t>
        </is>
      </c>
      <c r="G34" s="8" t="inlineStr">
        <is>
          <t>Y</t>
        </is>
      </c>
      <c r="H34" s="9" t="n">
        <v>0.53</v>
      </c>
      <c r="I34" s="10" t="inlineStr">
        <is>
          <t>3254, 3391, 311</t>
        </is>
      </c>
      <c r="J34" s="10" t="inlineStr">
        <is>
          <t>IBB, IHI, LIT, MOO, PHO, XBI, XLB, XLP, XLV</t>
        </is>
      </c>
      <c r="K34" s="11" t="n">
        <v>9</v>
      </c>
      <c r="L34" s="12" t="n"/>
      <c r="M34" s="12" t="n"/>
      <c r="N34" s="12" t="n"/>
      <c r="O34" s="13">
        <f>IF(L34="","",IF(I34=L34,"EXACT",IF(ISNUMBER(SEARCH(LEFT(I34,3),L34)),"PARTIAL","MISS")))</f>
        <v/>
      </c>
      <c r="P34" s="13">
        <f>IF(M34="","",IF(J34=M34,"EXACT","REVIEW"))</f>
        <v/>
      </c>
      <c r="Q34" s="13">
        <f>IF(OR(L34="",M34=""),"",IF(AND(O34="EXACT",P34="EXACT"),"PASS","REVIEW"))</f>
        <v/>
      </c>
    </row>
    <row r="35">
      <c r="A35" s="6" t="n">
        <v>33</v>
      </c>
      <c r="B35" s="6" t="inlineStr">
        <is>
          <t>2026-06306</t>
        </is>
      </c>
      <c r="C35" s="7" t="inlineStr">
        <is>
          <t>Safety Standard for Gates and Enclosures</t>
        </is>
      </c>
      <c r="D35" s="6" t="inlineStr">
        <is>
          <t>consumer-product-safety-commission</t>
        </is>
      </c>
      <c r="E35" s="6" t="inlineStr">
        <is>
          <t>Rule</t>
        </is>
      </c>
      <c r="F35" s="6" t="inlineStr">
        <is>
          <t>2026-04-01</t>
        </is>
      </c>
      <c r="G35" s="8" t="inlineStr">
        <is>
          <t>N</t>
        </is>
      </c>
      <c r="H35" s="9" t="n">
        <v>0.53</v>
      </c>
      <c r="I35" s="10" t="inlineStr">
        <is>
          <t>454, 518, 522</t>
        </is>
      </c>
      <c r="J35" s="10" t="inlineStr">
        <is>
          <t>CIBR, HACK, IAI, IYZ, KIE, KRE, XLC, XLF, XLK, XLY, XRT</t>
        </is>
      </c>
      <c r="K35" s="11" t="n">
        <v>11</v>
      </c>
      <c r="L35" s="12" t="n"/>
      <c r="M35" s="12" t="n"/>
      <c r="N35" s="12" t="n"/>
      <c r="O35" s="13">
        <f>IF(L35="","",IF(I35=L35,"EXACT",IF(ISNUMBER(SEARCH(LEFT(I35,3),L35)),"PARTIAL","MISS")))</f>
        <v/>
      </c>
      <c r="P35" s="13">
        <f>IF(M35="","",IF(J35=M35,"EXACT","REVIEW"))</f>
        <v/>
      </c>
      <c r="Q35" s="13">
        <f>IF(OR(L35="",M35=""),"",IF(AND(O35="EXACT",P35="EXACT"),"PASS","REVIEW"))</f>
        <v/>
      </c>
    </row>
    <row r="36">
      <c r="A36" s="6" t="n">
        <v>34</v>
      </c>
      <c r="B36" s="6" t="inlineStr">
        <is>
          <t>2026-06080</t>
        </is>
      </c>
      <c r="C36" s="7" t="inlineStr">
        <is>
          <t>Safety Standard for Portable Hook-On Chairs</t>
        </is>
      </c>
      <c r="D36" s="6" t="inlineStr">
        <is>
          <t>consumer-product-safety-commission</t>
        </is>
      </c>
      <c r="E36" s="6" t="inlineStr">
        <is>
          <t>Rule</t>
        </is>
      </c>
      <c r="F36" s="6" t="inlineStr">
        <is>
          <t>2026-03-30</t>
        </is>
      </c>
      <c r="G36" s="8" t="inlineStr">
        <is>
          <t>N</t>
        </is>
      </c>
      <c r="H36" s="9" t="n">
        <v>0.33</v>
      </c>
      <c r="I36" s="10" t="inlineStr">
        <is>
          <t>454, 518, 522</t>
        </is>
      </c>
      <c r="J36" s="10" t="inlineStr">
        <is>
          <t>CIBR, HACK, IAI, IYZ, KIE, KRE, XLC, XLF, XLK, XLY, XRT</t>
        </is>
      </c>
      <c r="K36" s="11" t="n">
        <v>11</v>
      </c>
      <c r="L36" s="12" t="n"/>
      <c r="M36" s="12" t="n"/>
      <c r="N36" s="12" t="n"/>
      <c r="O36" s="13">
        <f>IF(L36="","",IF(I36=L36,"EXACT",IF(ISNUMBER(SEARCH(LEFT(I36,3),L36)),"PARTIAL","MISS")))</f>
        <v/>
      </c>
      <c r="P36" s="13">
        <f>IF(M36="","",IF(J36=M36,"EXACT","REVIEW"))</f>
        <v/>
      </c>
      <c r="Q36" s="13">
        <f>IF(OR(L36="",M36=""),"",IF(AND(O36="EXACT",P36="EXACT"),"PASS","REVIEW"))</f>
        <v/>
      </c>
    </row>
    <row r="37">
      <c r="A37" s="6" t="n">
        <v>35</v>
      </c>
      <c r="B37" s="6" t="inlineStr">
        <is>
          <t>2026-06229</t>
        </is>
      </c>
      <c r="C37" s="7" t="inlineStr">
        <is>
          <t>Performance-Based Investment Advisory Fees</t>
        </is>
      </c>
      <c r="D37" s="6" t="inlineStr">
        <is>
          <t>securities-and-exchange-commission</t>
        </is>
      </c>
      <c r="E37" s="6" t="inlineStr">
        <is>
          <t>Proposed Rule</t>
        </is>
      </c>
      <c r="F37" s="6" t="inlineStr">
        <is>
          <t>2026-03-31</t>
        </is>
      </c>
      <c r="G37" s="8" t="inlineStr">
        <is>
          <t>N</t>
        </is>
      </c>
      <c r="H37" s="9" t="n">
        <v>0.42</v>
      </c>
      <c r="I37" s="10" t="inlineStr">
        <is>
          <t>523, 522, 525</t>
        </is>
      </c>
      <c r="J37" s="10" t="inlineStr">
        <is>
          <t>IAI, KIE, KRE, XLF, XLRE</t>
        </is>
      </c>
      <c r="K37" s="11" t="n">
        <v>5</v>
      </c>
      <c r="L37" s="12" t="n"/>
      <c r="M37" s="12" t="n"/>
      <c r="N37" s="12" t="n"/>
      <c r="O37" s="13">
        <f>IF(L37="","",IF(I37=L37,"EXACT",IF(ISNUMBER(SEARCH(LEFT(I37,3),L37)),"PARTIAL","MISS")))</f>
        <v/>
      </c>
      <c r="P37" s="13">
        <f>IF(M37="","",IF(J37=M37,"EXACT","REVIEW"))</f>
        <v/>
      </c>
      <c r="Q37" s="13">
        <f>IF(OR(L37="",M37=""),"",IF(AND(O37="EXACT",P37="EXACT"),"PASS","REVIEW"))</f>
        <v/>
      </c>
    </row>
    <row r="38">
      <c r="A38" s="6" t="n">
        <v>36</v>
      </c>
      <c r="B38" s="6" t="inlineStr">
        <is>
          <t>2026-06195</t>
        </is>
      </c>
      <c r="C38" s="7" t="inlineStr">
        <is>
          <t>Implementing the Freedom of Information Act and Privacy Act</t>
        </is>
      </c>
      <c r="D38" s="6" t="inlineStr">
        <is>
          <t>office-of-the-national-cyber-director</t>
        </is>
      </c>
      <c r="E38" s="6" t="inlineStr">
        <is>
          <t>Proposed Rule</t>
        </is>
      </c>
      <c r="F38" s="6" t="inlineStr">
        <is>
          <t>2026-03-31</t>
        </is>
      </c>
      <c r="G38" s="8" t="inlineStr">
        <is>
          <t>N</t>
        </is>
      </c>
      <c r="H38" s="9" t="n">
        <v>0.42</v>
      </c>
      <c r="I38" s="10" t="inlineStr">
        <is>
          <t>3364, 928, 334, 5415</t>
        </is>
      </c>
      <c r="J38" s="10" t="inlineStr">
        <is>
          <t>CIBR, HACK, ICLN, IHI, ITA, IYZ, JETS, LIT, SMH, TAN, XLI, XLK</t>
        </is>
      </c>
      <c r="K38" s="11" t="n">
        <v>12</v>
      </c>
      <c r="L38" s="12" t="n"/>
      <c r="M38" s="12" t="n"/>
      <c r="N38" s="12" t="n"/>
      <c r="O38" s="13">
        <f>IF(L38="","",IF(I38=L38,"EXACT",IF(ISNUMBER(SEARCH(LEFT(I38,3),L38)),"PARTIAL","MISS")))</f>
        <v/>
      </c>
      <c r="P38" s="13">
        <f>IF(M38="","",IF(J38=M38,"EXACT","REVIEW"))</f>
        <v/>
      </c>
      <c r="Q38" s="13">
        <f>IF(OR(L38="",M38=""),"",IF(AND(O38="EXACT",P38="EXACT"),"PASS","REVIEW"))</f>
        <v/>
      </c>
    </row>
    <row r="39">
      <c r="A39" s="6" t="n">
        <v>37</v>
      </c>
      <c r="B39" s="6" t="inlineStr">
        <is>
          <t>2026-06177</t>
        </is>
      </c>
      <c r="C39" s="7" t="inlineStr">
        <is>
          <t>Energy Conservation Program: Energy Conservation Standards for Fluorescent Lamp Ballasts</t>
        </is>
      </c>
      <c r="D39" s="6" t="inlineStr">
        <is>
          <t>energy-department</t>
        </is>
      </c>
      <c r="E39" s="6" t="inlineStr">
        <is>
          <t>Proposed Rule</t>
        </is>
      </c>
      <c r="F39" s="6" t="inlineStr">
        <is>
          <t>2026-03-31</t>
        </is>
      </c>
      <c r="G39" s="8" t="inlineStr">
        <is>
          <t>N</t>
        </is>
      </c>
      <c r="H39" s="9" t="n">
        <v>0.42</v>
      </c>
      <c r="I39" s="10" t="inlineStr">
        <is>
          <t>221, 211</t>
        </is>
      </c>
      <c r="J39" s="10" t="inlineStr">
        <is>
          <t>ICLN, OIH, PHO, TAN, XLE, XLU, XOP</t>
        </is>
      </c>
      <c r="K39" s="11" t="n">
        <v>7</v>
      </c>
      <c r="L39" s="12" t="n"/>
      <c r="M39" s="12" t="n"/>
      <c r="N39" s="12" t="n"/>
      <c r="O39" s="13">
        <f>IF(L39="","",IF(I39=L39,"EXACT",IF(ISNUMBER(SEARCH(LEFT(I39,3),L39)),"PARTIAL","MISS")))</f>
        <v/>
      </c>
      <c r="P39" s="13">
        <f>IF(M39="","",IF(J39=M39,"EXACT","REVIEW"))</f>
        <v/>
      </c>
      <c r="Q39" s="13">
        <f>IF(OR(L39="",M39=""),"",IF(AND(O39="EXACT",P39="EXACT"),"PASS","REVIEW"))</f>
        <v/>
      </c>
    </row>
    <row r="40">
      <c r="A40" s="6" t="n">
        <v>38</v>
      </c>
      <c r="B40" s="6" t="inlineStr">
        <is>
          <t>2026-06114</t>
        </is>
      </c>
      <c r="C40" s="7" t="inlineStr">
        <is>
          <t>Authority To Require Supervision and Regulation of Certain Nonbank Financial Companies</t>
        </is>
      </c>
      <c r="D40" s="6" t="inlineStr">
        <is>
          <t>financial-stability-oversight-council</t>
        </is>
      </c>
      <c r="E40" s="6" t="inlineStr">
        <is>
          <t>Proposed Rule</t>
        </is>
      </c>
      <c r="F40" s="6" t="inlineStr">
        <is>
          <t>2026-03-30</t>
        </is>
      </c>
      <c r="G40" s="8" t="inlineStr">
        <is>
          <t>N</t>
        </is>
      </c>
      <c r="H40" s="9" t="n">
        <v>0.33</v>
      </c>
      <c r="I40" s="10" t="inlineStr">
        <is>
          <t>522, 523</t>
        </is>
      </c>
      <c r="J40" s="10" t="inlineStr">
        <is>
          <t>IAI, KIE, KRE, XLF</t>
        </is>
      </c>
      <c r="K40" s="11" t="n">
        <v>4</v>
      </c>
      <c r="L40" s="12" t="n"/>
      <c r="M40" s="12" t="n"/>
      <c r="N40" s="12" t="n"/>
      <c r="O40" s="13">
        <f>IF(L40="","",IF(I40=L40,"EXACT",IF(ISNUMBER(SEARCH(LEFT(I40,3),L40)),"PARTIAL","MISS")))</f>
        <v/>
      </c>
      <c r="P40" s="13">
        <f>IF(M40="","",IF(J40=M40,"EXACT","REVIEW"))</f>
        <v/>
      </c>
      <c r="Q40" s="13">
        <f>IF(OR(L40="",M40=""),"",IF(AND(O40="EXACT",P40="EXACT"),"PASS","REVIEW"))</f>
        <v/>
      </c>
    </row>
    <row r="41">
      <c r="A41" s="6" t="n">
        <v>39</v>
      </c>
      <c r="B41" s="6" t="inlineStr">
        <is>
          <t>2026-06864</t>
        </is>
      </c>
      <c r="C41" s="7" t="inlineStr">
        <is>
          <t>Modernizing Suspension and Debarment Rules</t>
        </is>
      </c>
      <c r="D41" s="6" t="inlineStr">
        <is>
          <t>federal-communications-commission</t>
        </is>
      </c>
      <c r="E41" s="6" t="inlineStr">
        <is>
          <t>Rule</t>
        </is>
      </c>
      <c r="F41" s="6" t="inlineStr">
        <is>
          <t>2026-04-09</t>
        </is>
      </c>
      <c r="G41" s="8" t="inlineStr">
        <is>
          <t>N</t>
        </is>
      </c>
      <c r="H41" s="9" t="n">
        <v>0.42</v>
      </c>
      <c r="I41" s="10" t="inlineStr">
        <is>
          <t>517, 515, 518</t>
        </is>
      </c>
      <c r="J41" s="10" t="inlineStr">
        <is>
          <t>CIBR, HACK, IYZ, XLC, XLK</t>
        </is>
      </c>
      <c r="K41" s="11" t="n">
        <v>5</v>
      </c>
      <c r="L41" s="12" t="n"/>
      <c r="M41" s="12" t="n"/>
      <c r="N41" s="12" t="n"/>
      <c r="O41" s="13">
        <f>IF(L41="","",IF(I41=L41,"EXACT",IF(ISNUMBER(SEARCH(LEFT(I41,3),L41)),"PARTIAL","MISS")))</f>
        <v/>
      </c>
      <c r="P41" s="13">
        <f>IF(M41="","",IF(J41=M41,"EXACT","REVIEW"))</f>
        <v/>
      </c>
      <c r="Q41" s="13">
        <f>IF(OR(L41="",M41=""),"",IF(AND(O41="EXACT",P41="EXACT"),"PASS","REVIEW"))</f>
        <v/>
      </c>
    </row>
    <row r="42">
      <c r="A42" s="6" t="n">
        <v>40</v>
      </c>
      <c r="B42" s="6" t="inlineStr">
        <is>
          <t>2026-06851</t>
        </is>
      </c>
      <c r="C42" s="7" t="inlineStr">
        <is>
          <t>Extension of Authorized Integrated Circuit (IC) Designer Status and Application Deadline To Become a</t>
        </is>
      </c>
      <c r="D42" s="6" t="inlineStr">
        <is>
          <t>commerce-department</t>
        </is>
      </c>
      <c r="E42" s="6" t="inlineStr">
        <is>
          <t>Rule</t>
        </is>
      </c>
      <c r="F42" s="6" t="inlineStr">
        <is>
          <t>2026-04-09</t>
        </is>
      </c>
      <c r="G42" s="8" t="inlineStr">
        <is>
          <t>N</t>
        </is>
      </c>
      <c r="H42" s="9" t="n">
        <v>0.42</v>
      </c>
      <c r="I42" s="10" t="inlineStr">
        <is>
          <t>334, 331, 517, 518</t>
        </is>
      </c>
      <c r="J42" s="10" t="inlineStr">
        <is>
          <t>CIBR, HACK, ICLN, IHI, ITA, IYZ, LIT, SMH, TAN, XLB, XLC, XLK, XME</t>
        </is>
      </c>
      <c r="K42" s="11" t="n">
        <v>13</v>
      </c>
      <c r="L42" s="12" t="n"/>
      <c r="M42" s="12" t="n"/>
      <c r="N42" s="12" t="n"/>
      <c r="O42" s="13">
        <f>IF(L42="","",IF(I42=L42,"EXACT",IF(ISNUMBER(SEARCH(LEFT(I42,3),L42)),"PARTIAL","MISS")))</f>
        <v/>
      </c>
      <c r="P42" s="13">
        <f>IF(M42="","",IF(J42=M42,"EXACT","REVIEW"))</f>
        <v/>
      </c>
      <c r="Q42" s="13">
        <f>IF(OR(L42="",M42=""),"",IF(AND(O42="EXACT",P42="EXACT"),"PASS","REVIEW"))</f>
        <v/>
      </c>
    </row>
    <row r="43">
      <c r="A43" s="6" t="n">
        <v>41</v>
      </c>
      <c r="B43" s="6" t="inlineStr">
        <is>
          <t>2026-06537</t>
        </is>
      </c>
      <c r="C43" s="7" t="inlineStr">
        <is>
          <t>National Environmental Policy Act</t>
        </is>
      </c>
      <c r="D43" s="6" t="inlineStr">
        <is>
          <t>agriculture-department</t>
        </is>
      </c>
      <c r="E43" s="6" t="inlineStr">
        <is>
          <t>Rule</t>
        </is>
      </c>
      <c r="F43" s="6" t="inlineStr">
        <is>
          <t>2026-04-03</t>
        </is>
      </c>
      <c r="G43" s="8" t="inlineStr">
        <is>
          <t>Y</t>
        </is>
      </c>
      <c r="H43" s="9" t="n">
        <v>0.8</v>
      </c>
      <c r="I43" s="10" t="inlineStr">
        <is>
          <t>111, 112, 311</t>
        </is>
      </c>
      <c r="J43" s="10" t="inlineStr">
        <is>
          <t>MOO, XLP</t>
        </is>
      </c>
      <c r="K43" s="11" t="n">
        <v>2</v>
      </c>
      <c r="L43" s="12" t="n"/>
      <c r="M43" s="12" t="n"/>
      <c r="N43" s="12" t="n"/>
      <c r="O43" s="13">
        <f>IF(L43="","",IF(I43=L43,"EXACT",IF(ISNUMBER(SEARCH(LEFT(I43,3),L43)),"PARTIAL","MISS")))</f>
        <v/>
      </c>
      <c r="P43" s="13">
        <f>IF(M43="","",IF(J43=M43,"EXACT","REVIEW"))</f>
        <v/>
      </c>
      <c r="Q43" s="13">
        <f>IF(OR(L43="",M43=""),"",IF(AND(O43="EXACT",P43="EXACT"),"PASS","REVIEW"))</f>
        <v/>
      </c>
    </row>
    <row r="44">
      <c r="A44" s="6" t="n">
        <v>42</v>
      </c>
      <c r="B44" s="6" t="inlineStr">
        <is>
          <t>2026-06102</t>
        </is>
      </c>
      <c r="C44" s="7" t="inlineStr">
        <is>
          <t>Fisheries of the Northeastern United States; Mid-Atlantic Blueline Tilefish and Golden Tilefish Fish</t>
        </is>
      </c>
      <c r="D44" s="6" t="inlineStr">
        <is>
          <t>commerce-department</t>
        </is>
      </c>
      <c r="E44" s="6" t="inlineStr">
        <is>
          <t>Proposed Rule</t>
        </is>
      </c>
      <c r="F44" s="6" t="inlineStr">
        <is>
          <t>2026-03-30</t>
        </is>
      </c>
      <c r="G44" s="8" t="inlineStr">
        <is>
          <t>N</t>
        </is>
      </c>
      <c r="H44" s="9" t="n">
        <v>0.33</v>
      </c>
      <c r="I44" s="10" t="inlineStr">
        <is>
          <t>114, 112</t>
        </is>
      </c>
      <c r="J44" s="10" t="inlineStr">
        <is>
          <t>MOO</t>
        </is>
      </c>
      <c r="K44" s="11" t="n">
        <v>1</v>
      </c>
      <c r="L44" s="12" t="n"/>
      <c r="M44" s="12" t="n"/>
      <c r="N44" s="12" t="n"/>
      <c r="O44" s="13">
        <f>IF(L44="","",IF(I44=L44,"EXACT",IF(ISNUMBER(SEARCH(LEFT(I44,3),L44)),"PARTIAL","MISS")))</f>
        <v/>
      </c>
      <c r="P44" s="13">
        <f>IF(M44="","",IF(J44=M44,"EXACT","REVIEW"))</f>
        <v/>
      </c>
      <c r="Q44" s="13">
        <f>IF(OR(L44="",M44=""),"",IF(AND(O44="EXACT",P44="EXACT"),"PASS","REVIEW"))</f>
        <v/>
      </c>
    </row>
    <row r="45">
      <c r="A45" s="6" t="n">
        <v>43</v>
      </c>
      <c r="B45" s="6" t="inlineStr">
        <is>
          <t>2026-06621</t>
        </is>
      </c>
      <c r="C45" s="7" t="inlineStr">
        <is>
          <t>Airworthiness Directives; Airbus Helicopters</t>
        </is>
      </c>
      <c r="D45" s="6" t="inlineStr">
        <is>
          <t>transportation-department</t>
        </is>
      </c>
      <c r="E45" s="6" t="inlineStr">
        <is>
          <t>Rule</t>
        </is>
      </c>
      <c r="F45" s="6" t="inlineStr">
        <is>
          <t>2026-04-06</t>
        </is>
      </c>
      <c r="G45" s="8" t="inlineStr">
        <is>
          <t>N</t>
        </is>
      </c>
      <c r="H45" s="9" t="n">
        <v>0.4</v>
      </c>
      <c r="I45" s="10" t="inlineStr">
        <is>
          <t>3364, 481</t>
        </is>
      </c>
      <c r="J45" s="10" t="inlineStr">
        <is>
          <t>ITA, IYT, JETS, XLI</t>
        </is>
      </c>
      <c r="K45" s="11" t="n">
        <v>4</v>
      </c>
      <c r="L45" s="12" t="n"/>
      <c r="M45" s="12" t="n"/>
      <c r="N45" s="12" t="n"/>
      <c r="O45" s="13">
        <f>IF(L45="","",IF(I45=L45,"EXACT",IF(ISNUMBER(SEARCH(LEFT(I45,3),L45)),"PARTIAL","MISS")))</f>
        <v/>
      </c>
      <c r="P45" s="13">
        <f>IF(M45="","",IF(J45=M45,"EXACT","REVIEW"))</f>
        <v/>
      </c>
      <c r="Q45" s="13">
        <f>IF(OR(L45="",M45=""),"",IF(AND(O45="EXACT",P45="EXACT"),"PASS","REVIEW"))</f>
        <v/>
      </c>
    </row>
    <row r="46">
      <c r="A46" s="6" t="n">
        <v>44</v>
      </c>
      <c r="B46" s="6" t="inlineStr">
        <is>
          <t>2026-06866</t>
        </is>
      </c>
      <c r="C46" s="7" t="inlineStr">
        <is>
          <t>Review of Foreign Ownership Policies for Broadcast, Common Carrier and Aeronautical Radio Licensees</t>
        </is>
      </c>
      <c r="D46" s="6" t="inlineStr">
        <is>
          <t>federal-communications-commission</t>
        </is>
      </c>
      <c r="E46" s="6" t="inlineStr">
        <is>
          <t>Rule</t>
        </is>
      </c>
      <c r="F46" s="6" t="inlineStr">
        <is>
          <t>2026-04-09</t>
        </is>
      </c>
      <c r="G46" s="8" t="inlineStr">
        <is>
          <t>N</t>
        </is>
      </c>
      <c r="H46" s="9" t="n">
        <v>0.42</v>
      </c>
      <c r="I46" s="10" t="inlineStr">
        <is>
          <t>517, 515, 518</t>
        </is>
      </c>
      <c r="J46" s="10" t="inlineStr">
        <is>
          <t>CIBR, HACK, IYZ, XLC, XLK</t>
        </is>
      </c>
      <c r="K46" s="11" t="n">
        <v>5</v>
      </c>
      <c r="L46" s="12" t="n"/>
      <c r="M46" s="12" t="n"/>
      <c r="N46" s="12" t="n"/>
      <c r="O46" s="13">
        <f>IF(L46="","",IF(I46=L46,"EXACT",IF(ISNUMBER(SEARCH(LEFT(I46,3),L46)),"PARTIAL","MISS")))</f>
        <v/>
      </c>
      <c r="P46" s="13">
        <f>IF(M46="","",IF(J46=M46,"EXACT","REVIEW"))</f>
        <v/>
      </c>
      <c r="Q46" s="13">
        <f>IF(OR(L46="",M46=""),"",IF(AND(O46="EXACT",P46="EXACT"),"PASS","REVIEW"))</f>
        <v/>
      </c>
    </row>
    <row r="47">
      <c r="A47" s="6" t="n">
        <v>45</v>
      </c>
      <c r="B47" s="6" t="inlineStr">
        <is>
          <t>2026-06254</t>
        </is>
      </c>
      <c r="C47" s="7" t="inlineStr">
        <is>
          <t>Federal Motor Vehicle Safety Standards; Modernization of FMVSS No. 110 To Accommodate ADS-Equipped V</t>
        </is>
      </c>
      <c r="D47" s="6" t="inlineStr">
        <is>
          <t>transportation-department</t>
        </is>
      </c>
      <c r="E47" s="6" t="inlineStr">
        <is>
          <t>Proposed Rule</t>
        </is>
      </c>
      <c r="F47" s="6" t="inlineStr">
        <is>
          <t>2026-04-01</t>
        </is>
      </c>
      <c r="G47" s="8" t="inlineStr">
        <is>
          <t>N</t>
        </is>
      </c>
      <c r="H47" s="9" t="n">
        <v>0.53</v>
      </c>
      <c r="I47" s="10" t="inlineStr">
        <is>
          <t>481, 482, 484, 3361</t>
        </is>
      </c>
      <c r="J47" s="10" t="inlineStr">
        <is>
          <t>IYT, JETS, LIT, XLI, XLY</t>
        </is>
      </c>
      <c r="K47" s="11" t="n">
        <v>5</v>
      </c>
      <c r="L47" s="12" t="n"/>
      <c r="M47" s="12" t="n"/>
      <c r="N47" s="12" t="n"/>
      <c r="O47" s="13">
        <f>IF(L47="","",IF(I47=L47,"EXACT",IF(ISNUMBER(SEARCH(LEFT(I47,3),L47)),"PARTIAL","MISS")))</f>
        <v/>
      </c>
      <c r="P47" s="13">
        <f>IF(M47="","",IF(J47=M47,"EXACT","REVIEW"))</f>
        <v/>
      </c>
      <c r="Q47" s="13">
        <f>IF(OR(L47="",M47=""),"",IF(AND(O47="EXACT",P47="EXACT"),"PASS","REVIEW"))</f>
        <v/>
      </c>
    </row>
    <row r="48">
      <c r="A48" s="6" t="n">
        <v>46</v>
      </c>
      <c r="B48" s="6" t="inlineStr">
        <is>
          <t>2026-06067</t>
        </is>
      </c>
      <c r="C48" s="7" t="inlineStr">
        <is>
          <t>Airworthiness Directives; The Boeing Company Airplanes</t>
        </is>
      </c>
      <c r="D48" s="6" t="inlineStr">
        <is>
          <t>transportation-department</t>
        </is>
      </c>
      <c r="E48" s="6" t="inlineStr">
        <is>
          <t>Proposed Rule</t>
        </is>
      </c>
      <c r="F48" s="6" t="inlineStr">
        <is>
          <t>2026-03-30</t>
        </is>
      </c>
      <c r="G48" s="8" t="inlineStr">
        <is>
          <t>N</t>
        </is>
      </c>
      <c r="H48" s="9" t="n">
        <v>0.33</v>
      </c>
      <c r="I48" s="10" t="inlineStr">
        <is>
          <t>3364, 481</t>
        </is>
      </c>
      <c r="J48" s="10" t="inlineStr">
        <is>
          <t>ITA, IYT, JETS, XLI</t>
        </is>
      </c>
      <c r="K48" s="11" t="n">
        <v>4</v>
      </c>
      <c r="L48" s="12" t="n"/>
      <c r="M48" s="12" t="n"/>
      <c r="N48" s="12" t="n"/>
      <c r="O48" s="13">
        <f>IF(L48="","",IF(I48=L48,"EXACT",IF(ISNUMBER(SEARCH(LEFT(I48,3),L48)),"PARTIAL","MISS")))</f>
        <v/>
      </c>
      <c r="P48" s="13">
        <f>IF(M48="","",IF(J48=M48,"EXACT","REVIEW"))</f>
        <v/>
      </c>
      <c r="Q48" s="13">
        <f>IF(OR(L48="",M48=""),"",IF(AND(O48="EXACT",P48="EXACT"),"PASS","REVIEW"))</f>
        <v/>
      </c>
    </row>
    <row r="49">
      <c r="A49" s="6" t="n">
        <v>47</v>
      </c>
      <c r="B49" s="6" t="inlineStr">
        <is>
          <t>2026-05876</t>
        </is>
      </c>
      <c r="C49" s="7" t="inlineStr">
        <is>
          <t>Hazardous Waste Management System; Identification and Listing of Hazardous Waste</t>
        </is>
      </c>
      <c r="D49" s="6" t="inlineStr">
        <is>
          <t>environmental-protection-agency</t>
        </is>
      </c>
      <c r="E49" s="6" t="inlineStr">
        <is>
          <t>Proposed Rule</t>
        </is>
      </c>
      <c r="F49" s="6" t="inlineStr">
        <is>
          <t>2026-03-26</t>
        </is>
      </c>
      <c r="G49" s="8" t="inlineStr">
        <is>
          <t>N</t>
        </is>
      </c>
      <c r="H49" s="9" t="n">
        <v>0</v>
      </c>
      <c r="I49" s="10" t="inlineStr">
        <is>
          <t>211, 212, 221, 322, 324, 325, 562</t>
        </is>
      </c>
      <c r="J49" s="10" t="inlineStr">
        <is>
          <t>IBB, ICLN, IHI, LIT, MOO, OIH, PHO, TAN, XBI, XLB, XLE, XLI, XLP, XLU, XLV, XME, XOP</t>
        </is>
      </c>
      <c r="K49" s="11" t="n">
        <v>17</v>
      </c>
      <c r="L49" s="12" t="n"/>
      <c r="M49" s="12" t="n"/>
      <c r="N49" s="12" t="n"/>
      <c r="O49" s="13">
        <f>IF(L49="","",IF(I49=L49,"EXACT",IF(ISNUMBER(SEARCH(LEFT(I49,3),L49)),"PARTIAL","MISS")))</f>
        <v/>
      </c>
      <c r="P49" s="13">
        <f>IF(M49="","",IF(J49=M49,"EXACT","REVIEW"))</f>
        <v/>
      </c>
      <c r="Q49" s="13">
        <f>IF(OR(L49="",M49=""),"",IF(AND(O49="EXACT",P49="EXACT"),"PASS","REVIEW"))</f>
        <v/>
      </c>
    </row>
    <row r="50">
      <c r="A50" s="6" t="n">
        <v>48</v>
      </c>
      <c r="B50" s="6" t="inlineStr">
        <is>
          <t>2026-06465</t>
        </is>
      </c>
      <c r="C50" s="7" t="inlineStr">
        <is>
          <t>Airworthiness Directives; Airbus Canada Limited Partnership (Type Certificate Previously Held by C S</t>
        </is>
      </c>
      <c r="D50" s="6" t="inlineStr">
        <is>
          <t>transportation-department</t>
        </is>
      </c>
      <c r="E50" s="6" t="inlineStr">
        <is>
          <t>Rule</t>
        </is>
      </c>
      <c r="F50" s="6" t="inlineStr">
        <is>
          <t>2026-04-02</t>
        </is>
      </c>
      <c r="G50" s="8" t="inlineStr">
        <is>
          <t>N</t>
        </is>
      </c>
      <c r="H50" s="9" t="n">
        <v>0.67</v>
      </c>
      <c r="I50" s="10" t="inlineStr">
        <is>
          <t>3364, 481</t>
        </is>
      </c>
      <c r="J50" s="10" t="inlineStr">
        <is>
          <t>ITA, IYT, JETS, XLI</t>
        </is>
      </c>
      <c r="K50" s="11" t="n">
        <v>4</v>
      </c>
      <c r="L50" s="12" t="n"/>
      <c r="M50" s="12" t="n"/>
      <c r="N50" s="12" t="n"/>
      <c r="O50" s="13">
        <f>IF(L50="","",IF(I50=L50,"EXACT",IF(ISNUMBER(SEARCH(LEFT(I50,3),L50)),"PARTIAL","MISS")))</f>
        <v/>
      </c>
      <c r="P50" s="13">
        <f>IF(M50="","",IF(J50=M50,"EXACT","REVIEW"))</f>
        <v/>
      </c>
      <c r="Q50" s="13">
        <f>IF(OR(L50="",M50=""),"",IF(AND(O50="EXACT",P50="EXACT"),"PASS","REVIEW"))</f>
        <v/>
      </c>
    </row>
    <row r="51">
      <c r="A51" s="6" t="n">
        <v>49</v>
      </c>
      <c r="B51" s="6" t="inlineStr">
        <is>
          <t>2026-06066</t>
        </is>
      </c>
      <c r="C51" s="7" t="inlineStr">
        <is>
          <t>Reporting Deadline Extension for the Health and Safety Data Reporting Rule Under Toxic Substance Con</t>
        </is>
      </c>
      <c r="D51" s="6" t="inlineStr">
        <is>
          <t>environmental-protection-agency</t>
        </is>
      </c>
      <c r="E51" s="6" t="inlineStr">
        <is>
          <t>Proposed Rule</t>
        </is>
      </c>
      <c r="F51" s="6" t="inlineStr">
        <is>
          <t>2026-03-30</t>
        </is>
      </c>
      <c r="G51" s="8" t="inlineStr">
        <is>
          <t>N</t>
        </is>
      </c>
      <c r="H51" s="9" t="n">
        <v>0.33</v>
      </c>
      <c r="I51" s="10" t="inlineStr">
        <is>
          <t>211, 212, 221, 322, 324, 325, 562</t>
        </is>
      </c>
      <c r="J51" s="10" t="inlineStr">
        <is>
          <t>IBB, ICLN, IHI, LIT, MOO, OIH, PHO, TAN, XBI, XLB, XLE, XLI, XLP, XLU, XLV, XME, XOP</t>
        </is>
      </c>
      <c r="K51" s="11" t="n">
        <v>17</v>
      </c>
      <c r="L51" s="12" t="n"/>
      <c r="M51" s="12" t="n"/>
      <c r="N51" s="12" t="n"/>
      <c r="O51" s="13">
        <f>IF(L51="","",IF(I51=L51,"EXACT",IF(ISNUMBER(SEARCH(LEFT(I51,3),L51)),"PARTIAL","MISS")))</f>
        <v/>
      </c>
      <c r="P51" s="13">
        <f>IF(M51="","",IF(J51=M51,"EXACT","REVIEW"))</f>
        <v/>
      </c>
      <c r="Q51" s="13">
        <f>IF(OR(L51="",M51=""),"",IF(AND(O51="EXACT",P51="EXACT"),"PASS","REVIEW"))</f>
        <v/>
      </c>
    </row>
    <row r="52">
      <c r="A52" s="6" t="n">
        <v>50</v>
      </c>
      <c r="B52" s="6" t="inlineStr">
        <is>
          <t>2026-07088</t>
        </is>
      </c>
      <c r="C52" s="7" t="inlineStr">
        <is>
          <t>Delegations of Authority</t>
        </is>
      </c>
      <c r="D52" s="6" t="inlineStr">
        <is>
          <t>agriculture-department</t>
        </is>
      </c>
      <c r="E52" s="6" t="inlineStr">
        <is>
          <t>Rule</t>
        </is>
      </c>
      <c r="F52" s="6" t="inlineStr">
        <is>
          <t>2026-04-13</t>
        </is>
      </c>
      <c r="G52" s="8" t="inlineStr">
        <is>
          <t>N</t>
        </is>
      </c>
      <c r="H52" s="9" t="n">
        <v>0.58</v>
      </c>
      <c r="I52" s="10" t="inlineStr">
        <is>
          <t>111, 112, 311</t>
        </is>
      </c>
      <c r="J52" s="10" t="inlineStr">
        <is>
          <t>MOO, XLP</t>
        </is>
      </c>
      <c r="K52" s="11" t="n">
        <v>2</v>
      </c>
      <c r="L52" s="12" t="n"/>
      <c r="M52" s="12" t="n"/>
      <c r="N52" s="12" t="n"/>
      <c r="O52" s="13">
        <f>IF(L52="","",IF(I52=L52,"EXACT",IF(ISNUMBER(SEARCH(LEFT(I52,3),L52)),"PARTIAL","MISS")))</f>
        <v/>
      </c>
      <c r="P52" s="13">
        <f>IF(M52="","",IF(J52=M52,"EXACT","REVIEW"))</f>
        <v/>
      </c>
      <c r="Q52" s="13">
        <f>IF(OR(L52="",M52=""),"",IF(AND(O52="EXACT",P52="EXACT"),"PASS","REVIEW"))</f>
        <v/>
      </c>
    </row>
    <row r="53">
      <c r="A53" s="6" t="n">
        <v>51</v>
      </c>
      <c r="B53" s="6" t="inlineStr">
        <is>
          <t>2026-06622</t>
        </is>
      </c>
      <c r="C53" s="7" t="inlineStr">
        <is>
          <t>Airworthiness Directives; Airbus Helicopters</t>
        </is>
      </c>
      <c r="D53" s="6" t="inlineStr">
        <is>
          <t>transportation-department</t>
        </is>
      </c>
      <c r="E53" s="6" t="inlineStr">
        <is>
          <t>Rule</t>
        </is>
      </c>
      <c r="F53" s="6" t="inlineStr">
        <is>
          <t>2026-04-06</t>
        </is>
      </c>
      <c r="G53" s="8" t="inlineStr">
        <is>
          <t>N</t>
        </is>
      </c>
      <c r="H53" s="9" t="n">
        <v>0.4</v>
      </c>
      <c r="I53" s="10" t="inlineStr">
        <is>
          <t>3364, 481</t>
        </is>
      </c>
      <c r="J53" s="10" t="inlineStr">
        <is>
          <t>ITA, IYT, JETS, XLI</t>
        </is>
      </c>
      <c r="K53" s="11" t="n">
        <v>4</v>
      </c>
      <c r="L53" s="12" t="n"/>
      <c r="M53" s="12" t="n"/>
      <c r="N53" s="12" t="n"/>
      <c r="O53" s="13">
        <f>IF(L53="","",IF(I53=L53,"EXACT",IF(ISNUMBER(SEARCH(LEFT(I53,3),L53)),"PARTIAL","MISS")))</f>
        <v/>
      </c>
      <c r="P53" s="13">
        <f>IF(M53="","",IF(J53=M53,"EXACT","REVIEW"))</f>
        <v/>
      </c>
      <c r="Q53" s="13">
        <f>IF(OR(L53="",M53=""),"",IF(AND(O53="EXACT",P53="EXACT"),"PASS","REVIEW"))</f>
        <v/>
      </c>
    </row>
    <row r="54">
      <c r="A54" s="6" t="n">
        <v>52</v>
      </c>
      <c r="B54" s="6" t="inlineStr">
        <is>
          <t>2026-06295</t>
        </is>
      </c>
      <c r="C54" s="7" t="inlineStr">
        <is>
          <t>Filing of Color Additive Petition From the International Association of Color Manufacturers; Request</t>
        </is>
      </c>
      <c r="D54" s="6" t="inlineStr">
        <is>
          <t>health-and-human-services-department</t>
        </is>
      </c>
      <c r="E54" s="6" t="inlineStr">
        <is>
          <t>Proposed Rule</t>
        </is>
      </c>
      <c r="F54" s="6" t="inlineStr">
        <is>
          <t>2026-04-01</t>
        </is>
      </c>
      <c r="G54" s="8" t="inlineStr">
        <is>
          <t>N</t>
        </is>
      </c>
      <c r="H54" s="9" t="n">
        <v>0.53</v>
      </c>
      <c r="I54" s="10" t="inlineStr">
        <is>
          <t>3254, 3391, 311</t>
        </is>
      </c>
      <c r="J54" s="10" t="inlineStr">
        <is>
          <t>IBB, IHI, LIT, MOO, PHO, XBI, XLB, XLP, XLV</t>
        </is>
      </c>
      <c r="K54" s="11" t="n">
        <v>9</v>
      </c>
      <c r="L54" s="12" t="n"/>
      <c r="M54" s="12" t="n"/>
      <c r="N54" s="12" t="n"/>
      <c r="O54" s="13">
        <f>IF(L54="","",IF(I54=L54,"EXACT",IF(ISNUMBER(SEARCH(LEFT(I54,3),L54)),"PARTIAL","MISS")))</f>
        <v/>
      </c>
      <c r="P54" s="13">
        <f>IF(M54="","",IF(J54=M54,"EXACT","REVIEW"))</f>
        <v/>
      </c>
      <c r="Q54" s="13">
        <f>IF(OR(L54="",M54=""),"",IF(AND(O54="EXACT",P54="EXACT"),"PASS","REVIEW"))</f>
        <v/>
      </c>
    </row>
    <row r="55">
      <c r="A55" s="6" t="n">
        <v>53</v>
      </c>
      <c r="B55" s="6" t="inlineStr">
        <is>
          <t>2026-07015</t>
        </is>
      </c>
      <c r="C55" s="7" t="inlineStr">
        <is>
          <t>Notice of Request for Comment on the Part 141 Modernization Industry Recommendations Report</t>
        </is>
      </c>
      <c r="D55" s="6" t="inlineStr">
        <is>
          <t>transportation-department</t>
        </is>
      </c>
      <c r="E55" s="6" t="inlineStr">
        <is>
          <t>Proposed Rule</t>
        </is>
      </c>
      <c r="F55" s="6" t="inlineStr">
        <is>
          <t>2026-04-10</t>
        </is>
      </c>
      <c r="G55" s="8" t="inlineStr">
        <is>
          <t>N</t>
        </is>
      </c>
      <c r="H55" s="9" t="n">
        <v>0.33</v>
      </c>
      <c r="I55" s="10" t="inlineStr">
        <is>
          <t>3364, 481</t>
        </is>
      </c>
      <c r="J55" s="10" t="inlineStr">
        <is>
          <t>ITA, IYT, JETS, XLI</t>
        </is>
      </c>
      <c r="K55" s="11" t="n">
        <v>4</v>
      </c>
      <c r="L55" s="12" t="n"/>
      <c r="M55" s="12" t="n"/>
      <c r="N55" s="12" t="n"/>
      <c r="O55" s="13">
        <f>IF(L55="","",IF(I55=L55,"EXACT",IF(ISNUMBER(SEARCH(LEFT(I55,3),L55)),"PARTIAL","MISS")))</f>
        <v/>
      </c>
      <c r="P55" s="13">
        <f>IF(M55="","",IF(J55=M55,"EXACT","REVIEW"))</f>
        <v/>
      </c>
      <c r="Q55" s="13">
        <f>IF(OR(L55="",M55=""),"",IF(AND(O55="EXACT",P55="EXACT"),"PASS","REVIEW"))</f>
        <v/>
      </c>
    </row>
    <row r="56">
      <c r="A56" s="6" t="n">
        <v>54</v>
      </c>
      <c r="B56" s="6" t="inlineStr">
        <is>
          <t>2026-06628</t>
        </is>
      </c>
      <c r="C56" s="7" t="inlineStr">
        <is>
          <t>Airworthiness Directives; Airbus Canada Limited Partnership (Type Certificate Previously Held by C S</t>
        </is>
      </c>
      <c r="D56" s="6" t="inlineStr">
        <is>
          <t>transportation-department</t>
        </is>
      </c>
      <c r="E56" s="6" t="inlineStr">
        <is>
          <t>Rule</t>
        </is>
      </c>
      <c r="F56" s="6" t="inlineStr">
        <is>
          <t>2026-04-06</t>
        </is>
      </c>
      <c r="G56" s="8" t="inlineStr">
        <is>
          <t>N</t>
        </is>
      </c>
      <c r="H56" s="9" t="n">
        <v>0.4</v>
      </c>
      <c r="I56" s="10" t="inlineStr">
        <is>
          <t>3364, 481</t>
        </is>
      </c>
      <c r="J56" s="10" t="inlineStr">
        <is>
          <t>ITA, IYT, JETS, XLI</t>
        </is>
      </c>
      <c r="K56" s="11" t="n">
        <v>4</v>
      </c>
      <c r="L56" s="12" t="n"/>
      <c r="M56" s="12" t="n"/>
      <c r="N56" s="12" t="n"/>
      <c r="O56" s="13">
        <f>IF(L56="","",IF(I56=L56,"EXACT",IF(ISNUMBER(SEARCH(LEFT(I56,3),L56)),"PARTIAL","MISS")))</f>
        <v/>
      </c>
      <c r="P56" s="13">
        <f>IF(M56="","",IF(J56=M56,"EXACT","REVIEW"))</f>
        <v/>
      </c>
      <c r="Q56" s="13">
        <f>IF(OR(L56="",M56=""),"",IF(AND(O56="EXACT",P56="EXACT"),"PASS","REVIEW"))</f>
        <v/>
      </c>
    </row>
    <row r="57">
      <c r="A57" s="6" t="n">
        <v>55</v>
      </c>
      <c r="B57" s="6" t="inlineStr">
        <is>
          <t>2026-06085</t>
        </is>
      </c>
      <c r="C57" s="7" t="inlineStr">
        <is>
          <t>Airworthiness Directives; Airbus SAS Airplanes</t>
        </is>
      </c>
      <c r="D57" s="6" t="inlineStr">
        <is>
          <t>transportation-department</t>
        </is>
      </c>
      <c r="E57" s="6" t="inlineStr">
        <is>
          <t>Proposed Rule</t>
        </is>
      </c>
      <c r="F57" s="6" t="inlineStr">
        <is>
          <t>2026-03-30</t>
        </is>
      </c>
      <c r="G57" s="8" t="inlineStr">
        <is>
          <t>N</t>
        </is>
      </c>
      <c r="H57" s="9" t="n">
        <v>0.33</v>
      </c>
      <c r="I57" s="10" t="inlineStr">
        <is>
          <t>3364, 481</t>
        </is>
      </c>
      <c r="J57" s="10" t="inlineStr">
        <is>
          <t>ITA, IYT, JETS, XLI</t>
        </is>
      </c>
      <c r="K57" s="11" t="n">
        <v>4</v>
      </c>
      <c r="L57" s="12" t="n"/>
      <c r="M57" s="12" t="n"/>
      <c r="N57" s="12" t="n"/>
      <c r="O57" s="13">
        <f>IF(L57="","",IF(I57=L57,"EXACT",IF(ISNUMBER(SEARCH(LEFT(I57,3),L57)),"PARTIAL","MISS")))</f>
        <v/>
      </c>
      <c r="P57" s="13">
        <f>IF(M57="","",IF(J57=M57,"EXACT","REVIEW"))</f>
        <v/>
      </c>
      <c r="Q57" s="13">
        <f>IF(OR(L57="",M57=""),"",IF(AND(O57="EXACT",P57="EXACT"),"PASS","REVIEW"))</f>
        <v/>
      </c>
    </row>
    <row r="58">
      <c r="A58" s="6" t="n">
        <v>56</v>
      </c>
      <c r="B58" s="6" t="inlineStr">
        <is>
          <t>2026-06404</t>
        </is>
      </c>
      <c r="C58" s="7" t="inlineStr">
        <is>
          <t>Lead-Based Paint Poisoning Prevention in Certain Residential Structures</t>
        </is>
      </c>
      <c r="D58" s="6" t="inlineStr">
        <is>
          <t>environmental-protection-agency</t>
        </is>
      </c>
      <c r="E58" s="6" t="inlineStr">
        <is>
          <t>Rule</t>
        </is>
      </c>
      <c r="F58" s="6" t="inlineStr">
        <is>
          <t>2026-04-02</t>
        </is>
      </c>
      <c r="G58" s="8" t="inlineStr">
        <is>
          <t>N</t>
        </is>
      </c>
      <c r="H58" s="9" t="n">
        <v>0.67</v>
      </c>
      <c r="I58" s="10" t="inlineStr">
        <is>
          <t>211, 212, 221, 322, 324, 325, 562</t>
        </is>
      </c>
      <c r="J58" s="10" t="inlineStr">
        <is>
          <t>IBB, ICLN, IHI, LIT, MOO, OIH, PHO, TAN, XBI, XLB, XLE, XLI, XLP, XLU, XLV, XME, XOP</t>
        </is>
      </c>
      <c r="K58" s="11" t="n">
        <v>17</v>
      </c>
      <c r="L58" s="12" t="n"/>
      <c r="M58" s="12" t="n"/>
      <c r="N58" s="12" t="n"/>
      <c r="O58" s="13">
        <f>IF(L58="","",IF(I58=L58,"EXACT",IF(ISNUMBER(SEARCH(LEFT(I58,3),L58)),"PARTIAL","MISS")))</f>
        <v/>
      </c>
      <c r="P58" s="13">
        <f>IF(M58="","",IF(J58=M58,"EXACT","REVIEW"))</f>
        <v/>
      </c>
      <c r="Q58" s="13">
        <f>IF(OR(L58="",M58=""),"",IF(AND(O58="EXACT",P58="EXACT"),"PASS","REVIEW"))</f>
        <v/>
      </c>
    </row>
    <row r="59">
      <c r="A59" s="6" t="n">
        <v>57</v>
      </c>
      <c r="B59" s="6" t="inlineStr">
        <is>
          <t>2026-06392</t>
        </is>
      </c>
      <c r="C59" s="7" t="inlineStr">
        <is>
          <t>Reef Fish Fishery of the Gulf of America; Amendment 62</t>
        </is>
      </c>
      <c r="D59" s="6" t="inlineStr">
        <is>
          <t>commerce-department</t>
        </is>
      </c>
      <c r="E59" s="6" t="inlineStr">
        <is>
          <t>Proposed Rule</t>
        </is>
      </c>
      <c r="F59" s="6" t="inlineStr">
        <is>
          <t>2026-04-02</t>
        </is>
      </c>
      <c r="G59" s="8" t="inlineStr">
        <is>
          <t>N</t>
        </is>
      </c>
      <c r="H59" s="9" t="n">
        <v>0.67</v>
      </c>
      <c r="I59" s="10" t="inlineStr">
        <is>
          <t>114, 112</t>
        </is>
      </c>
      <c r="J59" s="10" t="inlineStr">
        <is>
          <t>MOO</t>
        </is>
      </c>
      <c r="K59" s="11" t="n">
        <v>1</v>
      </c>
      <c r="L59" s="12" t="n"/>
      <c r="M59" s="12" t="n"/>
      <c r="N59" s="12" t="n"/>
      <c r="O59" s="13">
        <f>IF(L59="","",IF(I59=L59,"EXACT",IF(ISNUMBER(SEARCH(LEFT(I59,3),L59)),"PARTIAL","MISS")))</f>
        <v/>
      </c>
      <c r="P59" s="13">
        <f>IF(M59="","",IF(J59=M59,"EXACT","REVIEW"))</f>
        <v/>
      </c>
      <c r="Q59" s="13">
        <f>IF(OR(L59="",M59=""),"",IF(AND(O59="EXACT",P59="EXACT"),"PASS","REVIEW"))</f>
        <v/>
      </c>
    </row>
    <row r="60">
      <c r="A60" s="6" t="n">
        <v>58</v>
      </c>
      <c r="B60" s="6" t="inlineStr">
        <is>
          <t>2026-06070</t>
        </is>
      </c>
      <c r="C60" s="7" t="inlineStr">
        <is>
          <t>Marketable Treasury Securities Redemption Operations</t>
        </is>
      </c>
      <c r="D60" s="6" t="inlineStr">
        <is>
          <t>treasury-department</t>
        </is>
      </c>
      <c r="E60" s="6" t="inlineStr">
        <is>
          <t>Rule</t>
        </is>
      </c>
      <c r="F60" s="6" t="inlineStr">
        <is>
          <t>2026-03-30</t>
        </is>
      </c>
      <c r="G60" s="8" t="inlineStr">
        <is>
          <t>N</t>
        </is>
      </c>
      <c r="H60" s="9" t="n">
        <v>0.33</v>
      </c>
      <c r="I60" s="10" t="inlineStr">
        <is>
          <t>522, 523, 525</t>
        </is>
      </c>
      <c r="J60" s="10" t="inlineStr">
        <is>
          <t>IAI, KIE, KRE, XLF, XLRE</t>
        </is>
      </c>
      <c r="K60" s="11" t="n">
        <v>5</v>
      </c>
      <c r="L60" s="12" t="n"/>
      <c r="M60" s="12" t="n"/>
      <c r="N60" s="12" t="n"/>
      <c r="O60" s="13">
        <f>IF(L60="","",IF(I60=L60,"EXACT",IF(ISNUMBER(SEARCH(LEFT(I60,3),L60)),"PARTIAL","MISS")))</f>
        <v/>
      </c>
      <c r="P60" s="13">
        <f>IF(M60="","",IF(J60=M60,"EXACT","REVIEW"))</f>
        <v/>
      </c>
      <c r="Q60" s="13">
        <f>IF(OR(L60="",M60=""),"",IF(AND(O60="EXACT",P60="EXACT"),"PASS","REVIEW"))</f>
        <v/>
      </c>
    </row>
    <row r="61">
      <c r="A61" s="6" t="n">
        <v>59</v>
      </c>
      <c r="B61" s="6" t="inlineStr">
        <is>
          <t>2026-07052</t>
        </is>
      </c>
      <c r="C61" s="7" t="inlineStr">
        <is>
          <t>Airworthiness Directives; Airbus SAS Airplanes</t>
        </is>
      </c>
      <c r="D61" s="6" t="inlineStr">
        <is>
          <t>transportation-department</t>
        </is>
      </c>
      <c r="E61" s="6" t="inlineStr">
        <is>
          <t>Proposed Rule</t>
        </is>
      </c>
      <c r="F61" s="6" t="inlineStr">
        <is>
          <t>2026-04-13</t>
        </is>
      </c>
      <c r="G61" s="8" t="inlineStr">
        <is>
          <t>N</t>
        </is>
      </c>
      <c r="H61" s="9" t="n">
        <v>0.58</v>
      </c>
      <c r="I61" s="10" t="inlineStr">
        <is>
          <t>3364, 481</t>
        </is>
      </c>
      <c r="J61" s="10" t="inlineStr">
        <is>
          <t>ITA, IYT, JETS, XLI</t>
        </is>
      </c>
      <c r="K61" s="11" t="n">
        <v>4</v>
      </c>
      <c r="L61" s="12" t="n"/>
      <c r="M61" s="12" t="n"/>
      <c r="N61" s="12" t="n"/>
      <c r="O61" s="13">
        <f>IF(L61="","",IF(I61=L61,"EXACT",IF(ISNUMBER(SEARCH(LEFT(I61,3),L61)),"PARTIAL","MISS")))</f>
        <v/>
      </c>
      <c r="P61" s="13">
        <f>IF(M61="","",IF(J61=M61,"EXACT","REVIEW"))</f>
        <v/>
      </c>
      <c r="Q61" s="13">
        <f>IF(OR(L61="",M61=""),"",IF(AND(O61="EXACT",P61="EXACT"),"PASS","REVIEW"))</f>
        <v/>
      </c>
    </row>
    <row r="62">
      <c r="A62" s="6" t="n">
        <v>60</v>
      </c>
      <c r="B62" s="6" t="inlineStr">
        <is>
          <t>2026-06304</t>
        </is>
      </c>
      <c r="C62" s="7" t="inlineStr">
        <is>
          <t>National Emission Standards for Hazardous Air Pollutants: Chemical Manufacturing Area Sources Techno</t>
        </is>
      </c>
      <c r="D62" s="6" t="inlineStr">
        <is>
          <t>environmental-protection-agency</t>
        </is>
      </c>
      <c r="E62" s="6" t="inlineStr">
        <is>
          <t>Rule</t>
        </is>
      </c>
      <c r="F62" s="6" t="inlineStr">
        <is>
          <t>2026-04-01</t>
        </is>
      </c>
      <c r="G62" s="8" t="inlineStr">
        <is>
          <t>N</t>
        </is>
      </c>
      <c r="H62" s="9" t="n">
        <v>0.53</v>
      </c>
      <c r="I62" s="10" t="inlineStr">
        <is>
          <t>211, 212, 221, 322, 324, 325, 562</t>
        </is>
      </c>
      <c r="J62" s="10" t="inlineStr">
        <is>
          <t>IBB, ICLN, IHI, LIT, MOO, OIH, PHO, TAN, XBI, XLB, XLE, XLI, XLP, XLU, XLV, XME, XOP</t>
        </is>
      </c>
      <c r="K62" s="11" t="n">
        <v>17</v>
      </c>
      <c r="L62" s="12" t="n"/>
      <c r="M62" s="12" t="n"/>
      <c r="N62" s="12" t="n"/>
      <c r="O62" s="13">
        <f>IF(L62="","",IF(I62=L62,"EXACT",IF(ISNUMBER(SEARCH(LEFT(I62,3),L62)),"PARTIAL","MISS")))</f>
        <v/>
      </c>
      <c r="P62" s="13">
        <f>IF(M62="","",IF(J62=M62,"EXACT","REVIEW"))</f>
        <v/>
      </c>
      <c r="Q62" s="13">
        <f>IF(OR(L62="",M62=""),"",IF(AND(O62="EXACT",P62="EXACT"),"PASS","REVIEW"))</f>
        <v/>
      </c>
    </row>
    <row r="63">
      <c r="A63" s="6" t="n">
        <v>61</v>
      </c>
      <c r="B63" s="6" t="inlineStr">
        <is>
          <t>2026-06832</t>
        </is>
      </c>
      <c r="C63" s="7" t="inlineStr">
        <is>
          <t>Air Plan Approval; Missouri; Revisions to Existing Rule 10 CSR 10-5.570; Control of Sulfur Emissions</t>
        </is>
      </c>
      <c r="D63" s="6" t="inlineStr">
        <is>
          <t>environmental-protection-agency</t>
        </is>
      </c>
      <c r="E63" s="6" t="inlineStr">
        <is>
          <t>Rule</t>
        </is>
      </c>
      <c r="F63" s="6" t="inlineStr">
        <is>
          <t>2026-04-09</t>
        </is>
      </c>
      <c r="G63" s="8" t="inlineStr">
        <is>
          <t>N</t>
        </is>
      </c>
      <c r="H63" s="9" t="n">
        <v>0.42</v>
      </c>
      <c r="I63" s="10" t="inlineStr">
        <is>
          <t>211, 212, 221, 322, 324, 325, 562</t>
        </is>
      </c>
      <c r="J63" s="10" t="inlineStr">
        <is>
          <t>IBB, ICLN, IHI, LIT, MOO, OIH, PHO, TAN, XBI, XLB, XLE, XLI, XLP, XLU, XLV, XME, XOP</t>
        </is>
      </c>
      <c r="K63" s="11" t="n">
        <v>17</v>
      </c>
      <c r="L63" s="12" t="n"/>
      <c r="M63" s="12" t="n"/>
      <c r="N63" s="12" t="n"/>
      <c r="O63" s="13">
        <f>IF(L63="","",IF(I63=L63,"EXACT",IF(ISNUMBER(SEARCH(LEFT(I63,3),L63)),"PARTIAL","MISS")))</f>
        <v/>
      </c>
      <c r="P63" s="13">
        <f>IF(M63="","",IF(J63=M63,"EXACT","REVIEW"))</f>
        <v/>
      </c>
      <c r="Q63" s="13">
        <f>IF(OR(L63="",M63=""),"",IF(AND(O63="EXACT",P63="EXACT"),"PASS","REVIEW"))</f>
        <v/>
      </c>
    </row>
    <row r="64">
      <c r="A64" s="6" t="n">
        <v>62</v>
      </c>
      <c r="B64" s="6" t="inlineStr">
        <is>
          <t>2026-06267</t>
        </is>
      </c>
      <c r="C64" s="7" t="inlineStr">
        <is>
          <t>Fisheries of the Exclusive Economic Zone Off Alaska; Pacific Cod by Pot Catcher/Processors in the Be</t>
        </is>
      </c>
      <c r="D64" s="6" t="inlineStr">
        <is>
          <t>commerce-department</t>
        </is>
      </c>
      <c r="E64" s="6" t="inlineStr">
        <is>
          <t>Rule</t>
        </is>
      </c>
      <c r="F64" s="6" t="inlineStr">
        <is>
          <t>2026-04-01</t>
        </is>
      </c>
      <c r="G64" s="8" t="inlineStr">
        <is>
          <t>N</t>
        </is>
      </c>
      <c r="H64" s="9" t="n">
        <v>0.53</v>
      </c>
      <c r="I64" s="10" t="inlineStr">
        <is>
          <t>114, 112</t>
        </is>
      </c>
      <c r="J64" s="10" t="inlineStr">
        <is>
          <t>MOO</t>
        </is>
      </c>
      <c r="K64" s="11" t="n">
        <v>1</v>
      </c>
      <c r="L64" s="12" t="n"/>
      <c r="M64" s="12" t="n"/>
      <c r="N64" s="12" t="n"/>
      <c r="O64" s="13">
        <f>IF(L64="","",IF(I64=L64,"EXACT",IF(ISNUMBER(SEARCH(LEFT(I64,3),L64)),"PARTIAL","MISS")))</f>
        <v/>
      </c>
      <c r="P64" s="13">
        <f>IF(M64="","",IF(J64=M64,"EXACT","REVIEW"))</f>
        <v/>
      </c>
      <c r="Q64" s="13">
        <f>IF(OR(L64="",M64=""),"",IF(AND(O64="EXACT",P64="EXACT"),"PASS","REVIEW"))</f>
        <v/>
      </c>
    </row>
    <row r="65">
      <c r="A65" s="6" t="n">
        <v>63</v>
      </c>
      <c r="B65" s="6" t="inlineStr">
        <is>
          <t>2026-07101</t>
        </is>
      </c>
      <c r="C65" s="7" t="inlineStr">
        <is>
          <t>Airworthiness Directives; Airbus Helicopters</t>
        </is>
      </c>
      <c r="D65" s="6" t="inlineStr">
        <is>
          <t>transportation-department</t>
        </is>
      </c>
      <c r="E65" s="6" t="inlineStr">
        <is>
          <t>Proposed Rule</t>
        </is>
      </c>
      <c r="F65" s="6" t="inlineStr">
        <is>
          <t>2026-04-13</t>
        </is>
      </c>
      <c r="G65" s="8" t="inlineStr">
        <is>
          <t>N</t>
        </is>
      </c>
      <c r="H65" s="9" t="n">
        <v>0.58</v>
      </c>
      <c r="I65" s="10" t="inlineStr">
        <is>
          <t>3364, 481</t>
        </is>
      </c>
      <c r="J65" s="10" t="inlineStr">
        <is>
          <t>ITA, IYT, JETS, XLI</t>
        </is>
      </c>
      <c r="K65" s="11" t="n">
        <v>4</v>
      </c>
      <c r="L65" s="12" t="n"/>
      <c r="M65" s="12" t="n"/>
      <c r="N65" s="12" t="n"/>
      <c r="O65" s="13">
        <f>IF(L65="","",IF(I65=L65,"EXACT",IF(ISNUMBER(SEARCH(LEFT(I65,3),L65)),"PARTIAL","MISS")))</f>
        <v/>
      </c>
      <c r="P65" s="13">
        <f>IF(M65="","",IF(J65=M65,"EXACT","REVIEW"))</f>
        <v/>
      </c>
      <c r="Q65" s="13">
        <f>IF(OR(L65="",M65=""),"",IF(AND(O65="EXACT",P65="EXACT"),"PASS","REVIEW"))</f>
        <v/>
      </c>
    </row>
    <row r="66">
      <c r="A66" s="6" t="n">
        <v>64</v>
      </c>
      <c r="B66" s="6" t="inlineStr">
        <is>
          <t>2026-06395</t>
        </is>
      </c>
      <c r="C66" s="7" t="inlineStr">
        <is>
          <t>Ohio: Authorization of State Hazardous Waste Management Program Revisions</t>
        </is>
      </c>
      <c r="D66" s="6" t="inlineStr">
        <is>
          <t>environmental-protection-agency</t>
        </is>
      </c>
      <c r="E66" s="6" t="inlineStr">
        <is>
          <t>Rule</t>
        </is>
      </c>
      <c r="F66" s="6" t="inlineStr">
        <is>
          <t>2026-04-02</t>
        </is>
      </c>
      <c r="G66" s="8" t="inlineStr">
        <is>
          <t>N</t>
        </is>
      </c>
      <c r="H66" s="9" t="n">
        <v>0.67</v>
      </c>
      <c r="I66" s="10" t="inlineStr">
        <is>
          <t>211, 212, 221, 322, 324, 325, 562</t>
        </is>
      </c>
      <c r="J66" s="10" t="inlineStr">
        <is>
          <t>IBB, ICLN, IHI, LIT, MOO, OIH, PHO, TAN, XBI, XLB, XLE, XLI, XLP, XLU, XLV, XME, XOP</t>
        </is>
      </c>
      <c r="K66" s="11" t="n">
        <v>17</v>
      </c>
      <c r="L66" s="12" t="n"/>
      <c r="M66" s="12" t="n"/>
      <c r="N66" s="12" t="n"/>
      <c r="O66" s="13">
        <f>IF(L66="","",IF(I66=L66,"EXACT",IF(ISNUMBER(SEARCH(LEFT(I66,3),L66)),"PARTIAL","MISS")))</f>
        <v/>
      </c>
      <c r="P66" s="13">
        <f>IF(M66="","",IF(J66=M66,"EXACT","REVIEW"))</f>
        <v/>
      </c>
      <c r="Q66" s="13">
        <f>IF(OR(L66="",M66=""),"",IF(AND(O66="EXACT",P66="EXACT"),"PASS","REVIEW"))</f>
        <v/>
      </c>
    </row>
    <row r="67">
      <c r="A67" s="6" t="n">
        <v>65</v>
      </c>
      <c r="B67" s="6" t="inlineStr">
        <is>
          <t>2026-06992</t>
        </is>
      </c>
      <c r="C67" s="7" t="inlineStr">
        <is>
          <t>Protecting Our Communications Networks by Promoting Transparency Regarding Foreign Adversary Control</t>
        </is>
      </c>
      <c r="D67" s="6" t="inlineStr">
        <is>
          <t>federal-communications-commission</t>
        </is>
      </c>
      <c r="E67" s="6" t="inlineStr">
        <is>
          <t>Rule</t>
        </is>
      </c>
      <c r="F67" s="6" t="inlineStr">
        <is>
          <t>2026-04-10</t>
        </is>
      </c>
      <c r="G67" s="8" t="inlineStr">
        <is>
          <t>N</t>
        </is>
      </c>
      <c r="H67" s="9" t="n">
        <v>0.33</v>
      </c>
      <c r="I67" s="10" t="inlineStr">
        <is>
          <t>517, 515, 518</t>
        </is>
      </c>
      <c r="J67" s="10" t="inlineStr">
        <is>
          <t>CIBR, HACK, IYZ, XLC, XLK</t>
        </is>
      </c>
      <c r="K67" s="11" t="n">
        <v>5</v>
      </c>
      <c r="L67" s="12" t="n"/>
      <c r="M67" s="12" t="n"/>
      <c r="N67" s="12" t="n"/>
      <c r="O67" s="13">
        <f>IF(L67="","",IF(I67=L67,"EXACT",IF(ISNUMBER(SEARCH(LEFT(I67,3),L67)),"PARTIAL","MISS")))</f>
        <v/>
      </c>
      <c r="P67" s="13">
        <f>IF(M67="","",IF(J67=M67,"EXACT","REVIEW"))</f>
        <v/>
      </c>
      <c r="Q67" s="13">
        <f>IF(OR(L67="",M67=""),"",IF(AND(O67="EXACT",P67="EXACT"),"PASS","REVIEW"))</f>
        <v/>
      </c>
    </row>
    <row r="68">
      <c r="A68" s="6" t="n">
        <v>66</v>
      </c>
      <c r="B68" s="6" t="inlineStr">
        <is>
          <t>2026-06663</t>
        </is>
      </c>
      <c r="C68" s="7" t="inlineStr">
        <is>
          <t>Magnuson-Stevens Fishery Conservation and Management Act Provisions; Modifications To Conform U.S. F</t>
        </is>
      </c>
      <c r="D68" s="6" t="inlineStr">
        <is>
          <t>commerce-department</t>
        </is>
      </c>
      <c r="E68" s="6" t="inlineStr">
        <is>
          <t>Rule</t>
        </is>
      </c>
      <c r="F68" s="6" t="inlineStr">
        <is>
          <t>2026-04-06</t>
        </is>
      </c>
      <c r="G68" s="8" t="inlineStr">
        <is>
          <t>N</t>
        </is>
      </c>
      <c r="H68" s="9" t="n">
        <v>0.4</v>
      </c>
      <c r="I68" s="10" t="inlineStr">
        <is>
          <t>114, 112</t>
        </is>
      </c>
      <c r="J68" s="10" t="inlineStr">
        <is>
          <t>MOO</t>
        </is>
      </c>
      <c r="K68" s="11" t="n">
        <v>1</v>
      </c>
      <c r="L68" s="12" t="n"/>
      <c r="M68" s="12" t="n"/>
      <c r="N68" s="12" t="n"/>
      <c r="O68" s="13">
        <f>IF(L68="","",IF(I68=L68,"EXACT",IF(ISNUMBER(SEARCH(LEFT(I68,3),L68)),"PARTIAL","MISS")))</f>
        <v/>
      </c>
      <c r="P68" s="13">
        <f>IF(M68="","",IF(J68=M68,"EXACT","REVIEW"))</f>
        <v/>
      </c>
      <c r="Q68" s="13">
        <f>IF(OR(L68="",M68=""),"",IF(AND(O68="EXACT",P68="EXACT"),"PASS","REVIEW"))</f>
        <v/>
      </c>
    </row>
    <row r="69">
      <c r="A69" s="6" t="n">
        <v>67</v>
      </c>
      <c r="B69" s="6" t="inlineStr">
        <is>
          <t>2026-06013</t>
        </is>
      </c>
      <c r="C69" s="7" t="inlineStr">
        <is>
          <t>Railroad Grade Crossings; Stopping Required: Exception for Railroad Grade Crossing Equipped With Act</t>
        </is>
      </c>
      <c r="D69" s="6" t="inlineStr">
        <is>
          <t>transportation-department</t>
        </is>
      </c>
      <c r="E69" s="6" t="inlineStr">
        <is>
          <t>Proposed Rule</t>
        </is>
      </c>
      <c r="F69" s="6" t="inlineStr">
        <is>
          <t>2026-03-27</t>
        </is>
      </c>
      <c r="G69" s="8" t="inlineStr">
        <is>
          <t>N</t>
        </is>
      </c>
      <c r="H69" s="9" t="n">
        <v>0.08</v>
      </c>
      <c r="I69" s="10" t="inlineStr">
        <is>
          <t>481, 482, 484, 3361</t>
        </is>
      </c>
      <c r="J69" s="10" t="inlineStr">
        <is>
          <t>IYT, JETS, LIT, XLI, XLY</t>
        </is>
      </c>
      <c r="K69" s="11" t="n">
        <v>5</v>
      </c>
      <c r="L69" s="12" t="n"/>
      <c r="M69" s="12" t="n"/>
      <c r="N69" s="12" t="n"/>
      <c r="O69" s="13">
        <f>IF(L69="","",IF(I69=L69,"EXACT",IF(ISNUMBER(SEARCH(LEFT(I69,3),L69)),"PARTIAL","MISS")))</f>
        <v/>
      </c>
      <c r="P69" s="13">
        <f>IF(M69="","",IF(J69=M69,"EXACT","REVIEW"))</f>
        <v/>
      </c>
      <c r="Q69" s="13">
        <f>IF(OR(L69="",M69=""),"",IF(AND(O69="EXACT",P69="EXACT"),"PASS","REVIEW"))</f>
        <v/>
      </c>
    </row>
    <row r="70">
      <c r="A70" s="6" t="n">
        <v>68</v>
      </c>
      <c r="B70" s="6" t="inlineStr">
        <is>
          <t>2026-06385</t>
        </is>
      </c>
      <c r="C70" s="7" t="inlineStr">
        <is>
          <t>Airworthiness Directives; The Boeing Company Airplanes</t>
        </is>
      </c>
      <c r="D70" s="6" t="inlineStr">
        <is>
          <t>transportation-department</t>
        </is>
      </c>
      <c r="E70" s="6" t="inlineStr">
        <is>
          <t>Proposed Rule</t>
        </is>
      </c>
      <c r="F70" s="6" t="inlineStr">
        <is>
          <t>2026-04-02</t>
        </is>
      </c>
      <c r="G70" s="8" t="inlineStr">
        <is>
          <t>N</t>
        </is>
      </c>
      <c r="H70" s="9" t="n">
        <v>0.67</v>
      </c>
      <c r="I70" s="10" t="inlineStr">
        <is>
          <t>3364, 481</t>
        </is>
      </c>
      <c r="J70" s="10" t="inlineStr">
        <is>
          <t>ITA, IYT, JETS, XLI</t>
        </is>
      </c>
      <c r="K70" s="11" t="n">
        <v>4</v>
      </c>
      <c r="L70" s="12" t="n"/>
      <c r="M70" s="12" t="n"/>
      <c r="N70" s="12" t="n"/>
      <c r="O70" s="13">
        <f>IF(L70="","",IF(I70=L70,"EXACT",IF(ISNUMBER(SEARCH(LEFT(I70,3),L70)),"PARTIAL","MISS")))</f>
        <v/>
      </c>
      <c r="P70" s="13">
        <f>IF(M70="","",IF(J70=M70,"EXACT","REVIEW"))</f>
        <v/>
      </c>
      <c r="Q70" s="13">
        <f>IF(OR(L70="",M70=""),"",IF(AND(O70="EXACT",P70="EXACT"),"PASS","REVIEW"))</f>
        <v/>
      </c>
    </row>
    <row r="71">
      <c r="A71" s="6" t="n">
        <v>69</v>
      </c>
      <c r="B71" s="6" t="inlineStr">
        <is>
          <t>2026-06691</t>
        </is>
      </c>
      <c r="C71" s="7" t="inlineStr">
        <is>
          <t>Airworthiness Directives; The Boeing Company Airplanes</t>
        </is>
      </c>
      <c r="D71" s="6" t="inlineStr">
        <is>
          <t>transportation-department</t>
        </is>
      </c>
      <c r="E71" s="6" t="inlineStr">
        <is>
          <t>Proposed Rule</t>
        </is>
      </c>
      <c r="F71" s="6" t="inlineStr">
        <is>
          <t>2026-04-07</t>
        </is>
      </c>
      <c r="G71" s="8" t="inlineStr">
        <is>
          <t>N</t>
        </is>
      </c>
      <c r="H71" s="9" t="n">
        <v>0.42</v>
      </c>
      <c r="I71" s="10" t="inlineStr">
        <is>
          <t>3364, 481</t>
        </is>
      </c>
      <c r="J71" s="10" t="inlineStr">
        <is>
          <t>ITA, IYT, JETS, XLI</t>
        </is>
      </c>
      <c r="K71" s="11" t="n">
        <v>4</v>
      </c>
      <c r="L71" s="12" t="n"/>
      <c r="M71" s="12" t="n"/>
      <c r="N71" s="12" t="n"/>
      <c r="O71" s="13">
        <f>IF(L71="","",IF(I71=L71,"EXACT",IF(ISNUMBER(SEARCH(LEFT(I71,3),L71)),"PARTIAL","MISS")))</f>
        <v/>
      </c>
      <c r="P71" s="13">
        <f>IF(M71="","",IF(J71=M71,"EXACT","REVIEW"))</f>
        <v/>
      </c>
      <c r="Q71" s="13">
        <f>IF(OR(L71="",M71=""),"",IF(AND(O71="EXACT",P71="EXACT"),"PASS","REVIEW"))</f>
        <v/>
      </c>
    </row>
    <row r="72">
      <c r="A72" s="6" t="n">
        <v>70</v>
      </c>
      <c r="B72" s="6" t="inlineStr">
        <is>
          <t>2026-06995</t>
        </is>
      </c>
      <c r="C72" s="7" t="inlineStr">
        <is>
          <t xml:space="preserve">Fisheries of the Exclusive Economic Zone Off Alaska; Pollock in Statistical Area 630 in the Gulf of </t>
        </is>
      </c>
      <c r="D72" s="6" t="inlineStr">
        <is>
          <t>commerce-department</t>
        </is>
      </c>
      <c r="E72" s="6" t="inlineStr">
        <is>
          <t>Rule</t>
        </is>
      </c>
      <c r="F72" s="6" t="inlineStr">
        <is>
          <t>2026-04-10</t>
        </is>
      </c>
      <c r="G72" s="8" t="inlineStr">
        <is>
          <t>N</t>
        </is>
      </c>
      <c r="H72" s="9" t="n">
        <v>0.33</v>
      </c>
      <c r="I72" s="10" t="inlineStr">
        <is>
          <t>114, 112</t>
        </is>
      </c>
      <c r="J72" s="10" t="inlineStr">
        <is>
          <t>MOO</t>
        </is>
      </c>
      <c r="K72" s="11" t="n">
        <v>1</v>
      </c>
      <c r="L72" s="12" t="n"/>
      <c r="M72" s="12" t="n"/>
      <c r="N72" s="12" t="n"/>
      <c r="O72" s="13">
        <f>IF(L72="","",IF(I72=L72,"EXACT",IF(ISNUMBER(SEARCH(LEFT(I72,3),L72)),"PARTIAL","MISS")))</f>
        <v/>
      </c>
      <c r="P72" s="13">
        <f>IF(M72="","",IF(J72=M72,"EXACT","REVIEW"))</f>
        <v/>
      </c>
      <c r="Q72" s="13">
        <f>IF(OR(L72="",M72=""),"",IF(AND(O72="EXACT",P72="EXACT"),"PASS","REVIEW"))</f>
        <v/>
      </c>
    </row>
    <row r="73">
      <c r="A73" s="6" t="n">
        <v>71</v>
      </c>
      <c r="B73" s="6" t="inlineStr">
        <is>
          <t>2026-05984</t>
        </is>
      </c>
      <c r="C73" s="7" t="inlineStr">
        <is>
          <t>Airworthiness Directives; Airbus Canada Limited Partnership (Type Certificate Previously Held by C S</t>
        </is>
      </c>
      <c r="D73" s="6" t="inlineStr">
        <is>
          <t>transportation-department</t>
        </is>
      </c>
      <c r="E73" s="6" t="inlineStr">
        <is>
          <t>Rule</t>
        </is>
      </c>
      <c r="F73" s="6" t="inlineStr">
        <is>
          <t>2026-03-27</t>
        </is>
      </c>
      <c r="G73" s="8" t="inlineStr">
        <is>
          <t>N</t>
        </is>
      </c>
      <c r="H73" s="9" t="n">
        <v>0.08</v>
      </c>
      <c r="I73" s="10" t="inlineStr">
        <is>
          <t>3364, 481</t>
        </is>
      </c>
      <c r="J73" s="10" t="inlineStr">
        <is>
          <t>ITA, IYT, JETS, XLI</t>
        </is>
      </c>
      <c r="K73" s="11" t="n">
        <v>4</v>
      </c>
      <c r="L73" s="12" t="n"/>
      <c r="M73" s="12" t="n"/>
      <c r="N73" s="12" t="n"/>
      <c r="O73" s="13">
        <f>IF(L73="","",IF(I73=L73,"EXACT",IF(ISNUMBER(SEARCH(LEFT(I73,3),L73)),"PARTIAL","MISS")))</f>
        <v/>
      </c>
      <c r="P73" s="13">
        <f>IF(M73="","",IF(J73=M73,"EXACT","REVIEW"))</f>
        <v/>
      </c>
      <c r="Q73" s="13">
        <f>IF(OR(L73="",M73=""),"",IF(AND(O73="EXACT",P73="EXACT"),"PASS","REVIEW"))</f>
        <v/>
      </c>
    </row>
    <row r="74">
      <c r="A74" s="6" t="n">
        <v>72</v>
      </c>
      <c r="B74" s="6" t="inlineStr">
        <is>
          <t>2026-06103</t>
        </is>
      </c>
      <c r="C74" s="7" t="inlineStr">
        <is>
          <t>Softwood Lumber Board Assessment Rate Clarification and Changes to Membership</t>
        </is>
      </c>
      <c r="D74" s="6" t="inlineStr">
        <is>
          <t>agriculture-department</t>
        </is>
      </c>
      <c r="E74" s="6" t="inlineStr">
        <is>
          <t>Proposed Rule</t>
        </is>
      </c>
      <c r="F74" s="6" t="inlineStr">
        <is>
          <t>2026-03-30</t>
        </is>
      </c>
      <c r="G74" s="8" t="inlineStr">
        <is>
          <t>N</t>
        </is>
      </c>
      <c r="H74" s="9" t="n">
        <v>0.33</v>
      </c>
      <c r="I74" s="10" t="inlineStr">
        <is>
          <t>111, 112, 311</t>
        </is>
      </c>
      <c r="J74" s="10" t="inlineStr">
        <is>
          <t>MOO, XLP</t>
        </is>
      </c>
      <c r="K74" s="11" t="n">
        <v>2</v>
      </c>
      <c r="L74" s="12" t="n"/>
      <c r="M74" s="12" t="n"/>
      <c r="N74" s="12" t="n"/>
      <c r="O74" s="13">
        <f>IF(L74="","",IF(I74=L74,"EXACT",IF(ISNUMBER(SEARCH(LEFT(I74,3),L74)),"PARTIAL","MISS")))</f>
        <v/>
      </c>
      <c r="P74" s="13">
        <f>IF(M74="","",IF(J74=M74,"EXACT","REVIEW"))</f>
        <v/>
      </c>
      <c r="Q74" s="13">
        <f>IF(OR(L74="",M74=""),"",IF(AND(O74="EXACT",P74="EXACT"),"PASS","REVIEW"))</f>
        <v/>
      </c>
    </row>
    <row r="75">
      <c r="A75" s="6" t="n">
        <v>73</v>
      </c>
      <c r="B75" s="6" t="inlineStr">
        <is>
          <t>2026-06686</t>
        </is>
      </c>
      <c r="C75" s="7" t="inlineStr">
        <is>
          <t>Citrus Tristeza Virus (CTV) Strain T36 Expressing Spinach Defensin Proteins SoD2, SoD2-1, and SoD2*;</t>
        </is>
      </c>
      <c r="D75" s="6" t="inlineStr">
        <is>
          <t>environmental-protection-agency</t>
        </is>
      </c>
      <c r="E75" s="6" t="inlineStr">
        <is>
          <t>Rule</t>
        </is>
      </c>
      <c r="F75" s="6" t="inlineStr">
        <is>
          <t>2026-04-07</t>
        </is>
      </c>
      <c r="G75" s="8" t="inlineStr">
        <is>
          <t>N</t>
        </is>
      </c>
      <c r="H75" s="9" t="n">
        <v>0.42</v>
      </c>
      <c r="I75" s="10" t="inlineStr">
        <is>
          <t>211, 212, 221, 322, 324, 325, 562</t>
        </is>
      </c>
      <c r="J75" s="10" t="inlineStr">
        <is>
          <t>IBB, ICLN, IHI, LIT, MOO, OIH, PHO, TAN, XBI, XLB, XLE, XLI, XLP, XLU, XLV, XME, XOP</t>
        </is>
      </c>
      <c r="K75" s="11" t="n">
        <v>17</v>
      </c>
      <c r="L75" s="12" t="n"/>
      <c r="M75" s="12" t="n"/>
      <c r="N75" s="12" t="n"/>
      <c r="O75" s="13">
        <f>IF(L75="","",IF(I75=L75,"EXACT",IF(ISNUMBER(SEARCH(LEFT(I75,3),L75)),"PARTIAL","MISS")))</f>
        <v/>
      </c>
      <c r="P75" s="13">
        <f>IF(M75="","",IF(J75=M75,"EXACT","REVIEW"))</f>
        <v/>
      </c>
      <c r="Q75" s="13">
        <f>IF(OR(L75="",M75=""),"",IF(AND(O75="EXACT",P75="EXACT"),"PASS","REVIEW"))</f>
        <v/>
      </c>
    </row>
    <row r="76">
      <c r="A76" s="6" t="n">
        <v>74</v>
      </c>
      <c r="B76" s="6" t="inlineStr">
        <is>
          <t>2026-06532</t>
        </is>
      </c>
      <c r="C76" s="7" t="inlineStr">
        <is>
          <t>Airworthiness Directives; Costruzioni Aeronautiche Tecnam S.P.A. Airplanes</t>
        </is>
      </c>
      <c r="D76" s="6" t="inlineStr">
        <is>
          <t>transportation-department</t>
        </is>
      </c>
      <c r="E76" s="6" t="inlineStr">
        <is>
          <t>Rule</t>
        </is>
      </c>
      <c r="F76" s="6" t="inlineStr">
        <is>
          <t>2026-04-03</t>
        </is>
      </c>
      <c r="G76" s="8" t="inlineStr">
        <is>
          <t>N</t>
        </is>
      </c>
      <c r="H76" s="9" t="n">
        <v>0.8</v>
      </c>
      <c r="I76" s="10" t="inlineStr">
        <is>
          <t>3364, 481</t>
        </is>
      </c>
      <c r="J76" s="10" t="inlineStr">
        <is>
          <t>ITA, IYT, JETS, XLI</t>
        </is>
      </c>
      <c r="K76" s="11" t="n">
        <v>4</v>
      </c>
      <c r="L76" s="12" t="n"/>
      <c r="M76" s="12" t="n"/>
      <c r="N76" s="12" t="n"/>
      <c r="O76" s="13">
        <f>IF(L76="","",IF(I76=L76,"EXACT",IF(ISNUMBER(SEARCH(LEFT(I76,3),L76)),"PARTIAL","MISS")))</f>
        <v/>
      </c>
      <c r="P76" s="13">
        <f>IF(M76="","",IF(J76=M76,"EXACT","REVIEW"))</f>
        <v/>
      </c>
      <c r="Q76" s="13">
        <f>IF(OR(L76="",M76=""),"",IF(AND(O76="EXACT",P76="EXACT"),"PASS","REVIEW"))</f>
        <v/>
      </c>
    </row>
    <row r="77">
      <c r="A77" s="6" t="n">
        <v>75</v>
      </c>
      <c r="B77" s="6" t="inlineStr">
        <is>
          <t>2026-06527</t>
        </is>
      </c>
      <c r="C77" s="7" t="inlineStr">
        <is>
          <t>Airworthiness Directives; Honda Aircraft Company LLC Airplanes</t>
        </is>
      </c>
      <c r="D77" s="6" t="inlineStr">
        <is>
          <t>transportation-department</t>
        </is>
      </c>
      <c r="E77" s="6" t="inlineStr">
        <is>
          <t>Rule</t>
        </is>
      </c>
      <c r="F77" s="6" t="inlineStr">
        <is>
          <t>2026-04-03</t>
        </is>
      </c>
      <c r="G77" s="8" t="inlineStr">
        <is>
          <t>N</t>
        </is>
      </c>
      <c r="H77" s="9" t="n">
        <v>0.8</v>
      </c>
      <c r="I77" s="10" t="inlineStr">
        <is>
          <t>3364, 481</t>
        </is>
      </c>
      <c r="J77" s="10" t="inlineStr">
        <is>
          <t>ITA, IYT, JETS, XLI</t>
        </is>
      </c>
      <c r="K77" s="11" t="n">
        <v>4</v>
      </c>
      <c r="L77" s="12" t="n"/>
      <c r="M77" s="12" t="n"/>
      <c r="N77" s="12" t="n"/>
      <c r="O77" s="13">
        <f>IF(L77="","",IF(I77=L77,"EXACT",IF(ISNUMBER(SEARCH(LEFT(I77,3),L77)),"PARTIAL","MISS")))</f>
        <v/>
      </c>
      <c r="P77" s="13">
        <f>IF(M77="","",IF(J77=M77,"EXACT","REVIEW"))</f>
        <v/>
      </c>
      <c r="Q77" s="13">
        <f>IF(OR(L77="",M77=""),"",IF(AND(O77="EXACT",P77="EXACT"),"PASS","REVIEW"))</f>
        <v/>
      </c>
    </row>
    <row r="78">
      <c r="A78" s="6" t="n">
        <v>76</v>
      </c>
      <c r="B78" s="6" t="inlineStr">
        <is>
          <t>2026-06943</t>
        </is>
      </c>
      <c r="C78" s="7" t="inlineStr">
        <is>
          <t>Air Plan Approval; Ohio; Redesignation of the Cleveland, OH Area to Attainment of the 2015 Ozone Sta</t>
        </is>
      </c>
      <c r="D78" s="6" t="inlineStr">
        <is>
          <t>environmental-protection-agency</t>
        </is>
      </c>
      <c r="E78" s="6" t="inlineStr">
        <is>
          <t>Proposed Rule</t>
        </is>
      </c>
      <c r="F78" s="6" t="inlineStr">
        <is>
          <t>2026-04-10</t>
        </is>
      </c>
      <c r="G78" s="8" t="inlineStr">
        <is>
          <t>N</t>
        </is>
      </c>
      <c r="H78" s="9" t="n">
        <v>0.33</v>
      </c>
      <c r="I78" s="10" t="inlineStr">
        <is>
          <t>211, 212, 221, 322, 324, 325, 562</t>
        </is>
      </c>
      <c r="J78" s="10" t="inlineStr">
        <is>
          <t>IBB, ICLN, IHI, LIT, MOO, OIH, PHO, TAN, XBI, XLB, XLE, XLI, XLP, XLU, XLV, XME, XOP</t>
        </is>
      </c>
      <c r="K78" s="11" t="n">
        <v>17</v>
      </c>
      <c r="L78" s="12" t="n"/>
      <c r="M78" s="12" t="n"/>
      <c r="N78" s="12" t="n"/>
      <c r="O78" s="13">
        <f>IF(L78="","",IF(I78=L78,"EXACT",IF(ISNUMBER(SEARCH(LEFT(I78,3),L78)),"PARTIAL","MISS")))</f>
        <v/>
      </c>
      <c r="P78" s="13">
        <f>IF(M78="","",IF(J78=M78,"EXACT","REVIEW"))</f>
        <v/>
      </c>
      <c r="Q78" s="13">
        <f>IF(OR(L78="",M78=""),"",IF(AND(O78="EXACT",P78="EXACT"),"PASS","REVIEW"))</f>
        <v/>
      </c>
    </row>
    <row r="79">
      <c r="A79" s="6" t="n">
        <v>77</v>
      </c>
      <c r="B79" s="6" t="inlineStr">
        <is>
          <t>2026-06891</t>
        </is>
      </c>
      <c r="C79" s="7" t="inlineStr">
        <is>
          <t>Grapes Grown in a Designated Area of Southeastern California; Decreased Assessment Rate</t>
        </is>
      </c>
      <c r="D79" s="6" t="inlineStr">
        <is>
          <t>agriculture-department</t>
        </is>
      </c>
      <c r="E79" s="6" t="inlineStr">
        <is>
          <t>Rule</t>
        </is>
      </c>
      <c r="F79" s="6" t="inlineStr">
        <is>
          <t>2026-04-09</t>
        </is>
      </c>
      <c r="G79" s="8" t="inlineStr">
        <is>
          <t>N</t>
        </is>
      </c>
      <c r="H79" s="9" t="n">
        <v>0.42</v>
      </c>
      <c r="I79" s="10" t="inlineStr">
        <is>
          <t>111, 112, 311</t>
        </is>
      </c>
      <c r="J79" s="10" t="inlineStr">
        <is>
          <t>MOO, XLP</t>
        </is>
      </c>
      <c r="K79" s="11" t="n">
        <v>2</v>
      </c>
      <c r="L79" s="12" t="n"/>
      <c r="M79" s="12" t="n"/>
      <c r="N79" s="12" t="n"/>
      <c r="O79" s="13">
        <f>IF(L79="","",IF(I79=L79,"EXACT",IF(ISNUMBER(SEARCH(LEFT(I79,3),L79)),"PARTIAL","MISS")))</f>
        <v/>
      </c>
      <c r="P79" s="13">
        <f>IF(M79="","",IF(J79=M79,"EXACT","REVIEW"))</f>
        <v/>
      </c>
      <c r="Q79" s="13">
        <f>IF(OR(L79="",M79=""),"",IF(AND(O79="EXACT",P79="EXACT"),"PASS","REVIEW"))</f>
        <v/>
      </c>
    </row>
    <row r="80">
      <c r="A80" s="6" t="n">
        <v>78</v>
      </c>
      <c r="B80" s="6" t="inlineStr">
        <is>
          <t>2026-07064</t>
        </is>
      </c>
      <c r="C80" s="7" t="inlineStr">
        <is>
          <t>Revisions to the Calculation of Annual Household Income and Net Family Assets in the Section 515 Rur</t>
        </is>
      </c>
      <c r="D80" s="6" t="inlineStr">
        <is>
          <t>agriculture-department</t>
        </is>
      </c>
      <c r="E80" s="6" t="inlineStr">
        <is>
          <t>Rule</t>
        </is>
      </c>
      <c r="F80" s="6" t="inlineStr">
        <is>
          <t>2026-04-13</t>
        </is>
      </c>
      <c r="G80" s="8" t="inlineStr">
        <is>
          <t>N</t>
        </is>
      </c>
      <c r="H80" s="9" t="n">
        <v>0.58</v>
      </c>
      <c r="I80" s="10" t="inlineStr">
        <is>
          <t>111, 112, 311</t>
        </is>
      </c>
      <c r="J80" s="10" t="inlineStr">
        <is>
          <t>MOO, XLP</t>
        </is>
      </c>
      <c r="K80" s="11" t="n">
        <v>2</v>
      </c>
      <c r="L80" s="12" t="n"/>
      <c r="M80" s="12" t="n"/>
      <c r="N80" s="12" t="n"/>
      <c r="O80" s="13">
        <f>IF(L80="","",IF(I80=L80,"EXACT",IF(ISNUMBER(SEARCH(LEFT(I80,3),L80)),"PARTIAL","MISS")))</f>
        <v/>
      </c>
      <c r="P80" s="13">
        <f>IF(M80="","",IF(J80=M80,"EXACT","REVIEW"))</f>
        <v/>
      </c>
      <c r="Q80" s="13">
        <f>IF(OR(L80="",M80=""),"",IF(AND(O80="EXACT",P80="EXACT"),"PASS","REVIEW"))</f>
        <v/>
      </c>
    </row>
    <row r="81">
      <c r="A81" s="6" t="n">
        <v>79</v>
      </c>
      <c r="B81" s="6" t="inlineStr">
        <is>
          <t>2026-06614</t>
        </is>
      </c>
      <c r="C81" s="7" t="inlineStr">
        <is>
          <t>Federal Motor Vehicle Safety Standards; Occupant Crash Protection, Seat Belt Reminder Systems</t>
        </is>
      </c>
      <c r="D81" s="6" t="inlineStr">
        <is>
          <t>transportation-department</t>
        </is>
      </c>
      <c r="E81" s="6" t="inlineStr">
        <is>
          <t>Rule</t>
        </is>
      </c>
      <c r="F81" s="6" t="inlineStr">
        <is>
          <t>2026-04-06</t>
        </is>
      </c>
      <c r="G81" s="8" t="inlineStr">
        <is>
          <t>N</t>
        </is>
      </c>
      <c r="H81" s="9" t="n">
        <v>0.4</v>
      </c>
      <c r="I81" s="10" t="inlineStr">
        <is>
          <t>481, 482, 484, 3361</t>
        </is>
      </c>
      <c r="J81" s="10" t="inlineStr">
        <is>
          <t>IYT, JETS, LIT, XLI, XLY</t>
        </is>
      </c>
      <c r="K81" s="11" t="n">
        <v>5</v>
      </c>
      <c r="L81" s="12" t="n"/>
      <c r="M81" s="12" t="n"/>
      <c r="N81" s="12" t="n"/>
      <c r="O81" s="13">
        <f>IF(L81="","",IF(I81=L81,"EXACT",IF(ISNUMBER(SEARCH(LEFT(I81,3),L81)),"PARTIAL","MISS")))</f>
        <v/>
      </c>
      <c r="P81" s="13">
        <f>IF(M81="","",IF(J81=M81,"EXACT","REVIEW"))</f>
        <v/>
      </c>
      <c r="Q81" s="13">
        <f>IF(OR(L81="",M81=""),"",IF(AND(O81="EXACT",P81="EXACT"),"PASS","REVIEW"))</f>
        <v/>
      </c>
    </row>
    <row r="82">
      <c r="A82" s="6" t="n">
        <v>80</v>
      </c>
      <c r="B82" s="6" t="inlineStr">
        <is>
          <t>2026-06747</t>
        </is>
      </c>
      <c r="C82" s="7" t="inlineStr">
        <is>
          <t>The Sunset Rule-Aircraft Impact Assessment</t>
        </is>
      </c>
      <c r="D82" s="6" t="inlineStr">
        <is>
          <t>nuclear-regulatory-commission</t>
        </is>
      </c>
      <c r="E82" s="6" t="inlineStr">
        <is>
          <t>Rule</t>
        </is>
      </c>
      <c r="F82" s="6" t="inlineStr">
        <is>
          <t>2026-04-08</t>
        </is>
      </c>
      <c r="G82" s="8" t="inlineStr">
        <is>
          <t>N</t>
        </is>
      </c>
      <c r="H82" s="9" t="n">
        <v>0.5</v>
      </c>
      <c r="I82" s="10" t="inlineStr">
        <is>
          <t>2211, 221, 562, 211</t>
        </is>
      </c>
      <c r="J82" s="10" t="inlineStr">
        <is>
          <t>ICLN, OIH, PHO, TAN, XLE, XLI, XLU, XOP</t>
        </is>
      </c>
      <c r="K82" s="11" t="n">
        <v>8</v>
      </c>
      <c r="L82" s="12" t="n"/>
      <c r="M82" s="12" t="n"/>
      <c r="N82" s="12" t="n"/>
      <c r="O82" s="13">
        <f>IF(L82="","",IF(I82=L82,"EXACT",IF(ISNUMBER(SEARCH(LEFT(I82,3),L82)),"PARTIAL","MISS")))</f>
        <v/>
      </c>
      <c r="P82" s="13">
        <f>IF(M82="","",IF(J82=M82,"EXACT","REVIEW"))</f>
        <v/>
      </c>
      <c r="Q82" s="13">
        <f>IF(OR(L82="",M82=""),"",IF(AND(O82="EXACT",P82="EXACT"),"PASS","REVIEW"))</f>
        <v/>
      </c>
    </row>
    <row r="83">
      <c r="A83" s="6" t="n">
        <v>81</v>
      </c>
      <c r="B83" s="6" t="inlineStr">
        <is>
          <t>2026-06396</t>
        </is>
      </c>
      <c r="C83" s="7" t="inlineStr">
        <is>
          <t>Air Plan Approval; Michigan; Detroit 2010 Sulfur Dioxide Redesignation and Maintenance Plan</t>
        </is>
      </c>
      <c r="D83" s="6" t="inlineStr">
        <is>
          <t>environmental-protection-agency</t>
        </is>
      </c>
      <c r="E83" s="6" t="inlineStr">
        <is>
          <t>Rule</t>
        </is>
      </c>
      <c r="F83" s="6" t="inlineStr">
        <is>
          <t>2026-04-02</t>
        </is>
      </c>
      <c r="G83" s="8" t="inlineStr">
        <is>
          <t>N</t>
        </is>
      </c>
      <c r="H83" s="9" t="n">
        <v>0.67</v>
      </c>
      <c r="I83" s="10" t="inlineStr">
        <is>
          <t>211, 212, 221, 322, 324, 325, 562</t>
        </is>
      </c>
      <c r="J83" s="10" t="inlineStr">
        <is>
          <t>IBB, ICLN, IHI, LIT, MOO, OIH, PHO, TAN, XBI, XLB, XLE, XLI, XLP, XLU, XLV, XME, XOP</t>
        </is>
      </c>
      <c r="K83" s="11" t="n">
        <v>17</v>
      </c>
      <c r="L83" s="12" t="n"/>
      <c r="M83" s="12" t="n"/>
      <c r="N83" s="12" t="n"/>
      <c r="O83" s="13">
        <f>IF(L83="","",IF(I83=L83,"EXACT",IF(ISNUMBER(SEARCH(LEFT(I83,3),L83)),"PARTIAL","MISS")))</f>
        <v/>
      </c>
      <c r="P83" s="13">
        <f>IF(M83="","",IF(J83=M83,"EXACT","REVIEW"))</f>
        <v/>
      </c>
      <c r="Q83" s="13">
        <f>IF(OR(L83="",M83=""),"",IF(AND(O83="EXACT",P83="EXACT"),"PASS","REVIEW"))</f>
        <v/>
      </c>
    </row>
    <row r="84">
      <c r="A84" s="6" t="n">
        <v>82</v>
      </c>
      <c r="B84" s="6" t="inlineStr">
        <is>
          <t>2026-06515</t>
        </is>
      </c>
      <c r="C84" s="7" t="inlineStr">
        <is>
          <t>Takes of Marine Mammals Incidental to Specified Activities; Taking Marine Mammals Incidental to Texa</t>
        </is>
      </c>
      <c r="D84" s="6" t="inlineStr">
        <is>
          <t>commerce-department</t>
        </is>
      </c>
      <c r="E84" s="6" t="inlineStr">
        <is>
          <t>Proposed Rule</t>
        </is>
      </c>
      <c r="F84" s="6" t="inlineStr">
        <is>
          <t>2026-04-03</t>
        </is>
      </c>
      <c r="G84" s="8" t="inlineStr">
        <is>
          <t>N</t>
        </is>
      </c>
      <c r="H84" s="9" t="n">
        <v>0.8</v>
      </c>
      <c r="I84" s="10" t="inlineStr">
        <is>
          <t>114, 112</t>
        </is>
      </c>
      <c r="J84" s="10" t="inlineStr">
        <is>
          <t>MOO</t>
        </is>
      </c>
      <c r="K84" s="11" t="n">
        <v>1</v>
      </c>
      <c r="L84" s="12" t="n"/>
      <c r="M84" s="12" t="n"/>
      <c r="N84" s="12" t="n"/>
      <c r="O84" s="13">
        <f>IF(L84="","",IF(I84=L84,"EXACT",IF(ISNUMBER(SEARCH(LEFT(I84,3),L84)),"PARTIAL","MISS")))</f>
        <v/>
      </c>
      <c r="P84" s="13">
        <f>IF(M84="","",IF(J84=M84,"EXACT","REVIEW"))</f>
        <v/>
      </c>
      <c r="Q84" s="13">
        <f>IF(OR(L84="",M84=""),"",IF(AND(O84="EXACT",P84="EXACT"),"PASS","REVIEW"))</f>
        <v/>
      </c>
    </row>
    <row r="85">
      <c r="A85" s="6" t="n">
        <v>83</v>
      </c>
      <c r="B85" s="6" t="inlineStr">
        <is>
          <t>2026-06563</t>
        </is>
      </c>
      <c r="C85" s="7" t="inlineStr">
        <is>
          <t>Airworthiness Directives; Airbus SAS Airplanes</t>
        </is>
      </c>
      <c r="D85" s="6" t="inlineStr">
        <is>
          <t>transportation-department</t>
        </is>
      </c>
      <c r="E85" s="6" t="inlineStr">
        <is>
          <t>Proposed Rule</t>
        </is>
      </c>
      <c r="F85" s="6" t="inlineStr">
        <is>
          <t>2026-04-03</t>
        </is>
      </c>
      <c r="G85" s="8" t="inlineStr">
        <is>
          <t>N</t>
        </is>
      </c>
      <c r="H85" s="9" t="n">
        <v>0.8</v>
      </c>
      <c r="I85" s="10" t="inlineStr">
        <is>
          <t>3364, 481</t>
        </is>
      </c>
      <c r="J85" s="10" t="inlineStr">
        <is>
          <t>ITA, IYT, JETS, XLI</t>
        </is>
      </c>
      <c r="K85" s="11" t="n">
        <v>4</v>
      </c>
      <c r="L85" s="12" t="n"/>
      <c r="M85" s="12" t="n"/>
      <c r="N85" s="12" t="n"/>
      <c r="O85" s="13">
        <f>IF(L85="","",IF(I85=L85,"EXACT",IF(ISNUMBER(SEARCH(LEFT(I85,3),L85)),"PARTIAL","MISS")))</f>
        <v/>
      </c>
      <c r="P85" s="13">
        <f>IF(M85="","",IF(J85=M85,"EXACT","REVIEW"))</f>
        <v/>
      </c>
      <c r="Q85" s="13">
        <f>IF(OR(L85="",M85=""),"",IF(AND(O85="EXACT",P85="EXACT"),"PASS","REVIEW"))</f>
        <v/>
      </c>
    </row>
    <row r="86">
      <c r="A86" s="6" t="n">
        <v>84</v>
      </c>
      <c r="B86" s="6" t="inlineStr">
        <is>
          <t>2026-05960</t>
        </is>
      </c>
      <c r="C86" s="7" t="inlineStr">
        <is>
          <t>Regulatory Capital Rules: Regulatory Capital and Standardized Approach for Risk-Weighted Assets</t>
        </is>
      </c>
      <c r="D86" s="6" t="inlineStr">
        <is>
          <t>treasury-department</t>
        </is>
      </c>
      <c r="E86" s="6" t="inlineStr">
        <is>
          <t>Proposed Rule</t>
        </is>
      </c>
      <c r="F86" s="6" t="inlineStr">
        <is>
          <t>2026-03-27</t>
        </is>
      </c>
      <c r="G86" s="8" t="inlineStr">
        <is>
          <t>N</t>
        </is>
      </c>
      <c r="H86" s="9" t="n">
        <v>0.08</v>
      </c>
      <c r="I86" s="10" t="inlineStr">
        <is>
          <t>522, 523</t>
        </is>
      </c>
      <c r="J86" s="10" t="inlineStr">
        <is>
          <t>IAI, KIE, KRE, XLF</t>
        </is>
      </c>
      <c r="K86" s="11" t="n">
        <v>4</v>
      </c>
      <c r="L86" s="12" t="n"/>
      <c r="M86" s="12" t="n"/>
      <c r="N86" s="12" t="n"/>
      <c r="O86" s="13">
        <f>IF(L86="","",IF(I86=L86,"EXACT",IF(ISNUMBER(SEARCH(LEFT(I86,3),L86)),"PARTIAL","MISS")))</f>
        <v/>
      </c>
      <c r="P86" s="13">
        <f>IF(M86="","",IF(J86=M86,"EXACT","REVIEW"))</f>
        <v/>
      </c>
      <c r="Q86" s="13">
        <f>IF(OR(L86="",M86=""),"",IF(AND(O86="EXACT",P86="EXACT"),"PASS","REVIEW"))</f>
        <v/>
      </c>
    </row>
    <row r="87">
      <c r="A87" s="6" t="n">
        <v>85</v>
      </c>
      <c r="B87" s="6" t="inlineStr">
        <is>
          <t>2026-06506</t>
        </is>
      </c>
      <c r="C87" s="7" t="inlineStr">
        <is>
          <t>Airworthiness Directives; Bombardier Inc. Airplanes</t>
        </is>
      </c>
      <c r="D87" s="6" t="inlineStr">
        <is>
          <t>transportation-department</t>
        </is>
      </c>
      <c r="E87" s="6" t="inlineStr">
        <is>
          <t>Rule</t>
        </is>
      </c>
      <c r="F87" s="6" t="inlineStr">
        <is>
          <t>2026-04-03</t>
        </is>
      </c>
      <c r="G87" s="8" t="inlineStr">
        <is>
          <t>N</t>
        </is>
      </c>
      <c r="H87" s="9" t="n">
        <v>0.8</v>
      </c>
      <c r="I87" s="10" t="inlineStr">
        <is>
          <t>3364, 481</t>
        </is>
      </c>
      <c r="J87" s="10" t="inlineStr">
        <is>
          <t>ITA, IYT, JETS, XLI</t>
        </is>
      </c>
      <c r="K87" s="11" t="n">
        <v>4</v>
      </c>
      <c r="L87" s="12" t="n"/>
      <c r="M87" s="12" t="n"/>
      <c r="N87" s="12" t="n"/>
      <c r="O87" s="13">
        <f>IF(L87="","",IF(I87=L87,"EXACT",IF(ISNUMBER(SEARCH(LEFT(I87,3),L87)),"PARTIAL","MISS")))</f>
        <v/>
      </c>
      <c r="P87" s="13">
        <f>IF(M87="","",IF(J87=M87,"EXACT","REVIEW"))</f>
        <v/>
      </c>
      <c r="Q87" s="13">
        <f>IF(OR(L87="",M87=""),"",IF(AND(O87="EXACT",P87="EXACT"),"PASS","REVIEW"))</f>
        <v/>
      </c>
    </row>
    <row r="88">
      <c r="A88" s="6" t="n">
        <v>86</v>
      </c>
      <c r="B88" s="6" t="inlineStr">
        <is>
          <t>2026-06271</t>
        </is>
      </c>
      <c r="C88" s="7" t="inlineStr">
        <is>
          <t>Whistleblower Incentives and Protections</t>
        </is>
      </c>
      <c r="D88" s="6" t="inlineStr">
        <is>
          <t>treasury-department</t>
        </is>
      </c>
      <c r="E88" s="6" t="inlineStr">
        <is>
          <t>Proposed Rule</t>
        </is>
      </c>
      <c r="F88" s="6" t="inlineStr">
        <is>
          <t>2026-04-01</t>
        </is>
      </c>
      <c r="G88" s="8" t="inlineStr">
        <is>
          <t>N</t>
        </is>
      </c>
      <c r="H88" s="9" t="n">
        <v>0.53</v>
      </c>
      <c r="I88" s="10" t="inlineStr">
        <is>
          <t>522, 523, 525</t>
        </is>
      </c>
      <c r="J88" s="10" t="inlineStr">
        <is>
          <t>IAI, KIE, KRE, XLF, XLRE</t>
        </is>
      </c>
      <c r="K88" s="11" t="n">
        <v>5</v>
      </c>
      <c r="L88" s="12" t="n"/>
      <c r="M88" s="12" t="n"/>
      <c r="N88" s="12" t="n"/>
      <c r="O88" s="13">
        <f>IF(L88="","",IF(I88=L88,"EXACT",IF(ISNUMBER(SEARCH(LEFT(I88,3),L88)),"PARTIAL","MISS")))</f>
        <v/>
      </c>
      <c r="P88" s="13">
        <f>IF(M88="","",IF(J88=M88,"EXACT","REVIEW"))</f>
        <v/>
      </c>
      <c r="Q88" s="13">
        <f>IF(OR(L88="",M88=""),"",IF(AND(O88="EXACT",P88="EXACT"),"PASS","REVIEW"))</f>
        <v/>
      </c>
    </row>
    <row r="89">
      <c r="A89" s="6" t="n">
        <v>87</v>
      </c>
      <c r="B89" s="6" t="inlineStr">
        <is>
          <t>2026-06384</t>
        </is>
      </c>
      <c r="C89" s="7" t="inlineStr">
        <is>
          <t>Air Plan Approval; Connecticut; New Source Review Permit Program State Plan Revision</t>
        </is>
      </c>
      <c r="D89" s="6" t="inlineStr">
        <is>
          <t>environmental-protection-agency</t>
        </is>
      </c>
      <c r="E89" s="6" t="inlineStr">
        <is>
          <t>Rule</t>
        </is>
      </c>
      <c r="F89" s="6" t="inlineStr">
        <is>
          <t>2026-04-02</t>
        </is>
      </c>
      <c r="G89" s="8" t="inlineStr">
        <is>
          <t>N</t>
        </is>
      </c>
      <c r="H89" s="9" t="n">
        <v>0.67</v>
      </c>
      <c r="I89" s="10" t="inlineStr">
        <is>
          <t>211, 212, 221, 322, 324, 325, 562</t>
        </is>
      </c>
      <c r="J89" s="10" t="inlineStr">
        <is>
          <t>IBB, ICLN, IHI, LIT, MOO, OIH, PHO, TAN, XBI, XLB, XLE, XLI, XLP, XLU, XLV, XME, XOP</t>
        </is>
      </c>
      <c r="K89" s="11" t="n">
        <v>17</v>
      </c>
      <c r="L89" s="12" t="n"/>
      <c r="M89" s="12" t="n"/>
      <c r="N89" s="12" t="n"/>
      <c r="O89" s="13">
        <f>IF(L89="","",IF(I89=L89,"EXACT",IF(ISNUMBER(SEARCH(LEFT(I89,3),L89)),"PARTIAL","MISS")))</f>
        <v/>
      </c>
      <c r="P89" s="13">
        <f>IF(M89="","",IF(J89=M89,"EXACT","REVIEW"))</f>
        <v/>
      </c>
      <c r="Q89" s="13">
        <f>IF(OR(L89="",M89=""),"",IF(AND(O89="EXACT",P89="EXACT"),"PASS","REVIEW"))</f>
        <v/>
      </c>
    </row>
    <row r="90">
      <c r="A90" s="6" t="n">
        <v>88</v>
      </c>
      <c r="B90" s="6" t="inlineStr">
        <is>
          <t>2026-06305</t>
        </is>
      </c>
      <c r="C90" s="7" t="inlineStr">
        <is>
          <t>Establishment of Class E Airspace; Jewett, TX</t>
        </is>
      </c>
      <c r="D90" s="6" t="inlineStr">
        <is>
          <t>transportation-department</t>
        </is>
      </c>
      <c r="E90" s="6" t="inlineStr">
        <is>
          <t>Proposed Rule</t>
        </is>
      </c>
      <c r="F90" s="6" t="inlineStr">
        <is>
          <t>2026-04-01</t>
        </is>
      </c>
      <c r="G90" s="8" t="inlineStr">
        <is>
          <t>N</t>
        </is>
      </c>
      <c r="H90" s="9" t="n">
        <v>0.53</v>
      </c>
      <c r="I90" s="10" t="inlineStr">
        <is>
          <t>3364, 481</t>
        </is>
      </c>
      <c r="J90" s="10" t="inlineStr">
        <is>
          <t>ITA, IYT, JETS, XLI</t>
        </is>
      </c>
      <c r="K90" s="11" t="n">
        <v>4</v>
      </c>
      <c r="L90" s="12" t="n"/>
      <c r="M90" s="12" t="n"/>
      <c r="N90" s="12" t="n"/>
      <c r="O90" s="13">
        <f>IF(L90="","",IF(I90=L90,"EXACT",IF(ISNUMBER(SEARCH(LEFT(I90,3),L90)),"PARTIAL","MISS")))</f>
        <v/>
      </c>
      <c r="P90" s="13">
        <f>IF(M90="","",IF(J90=M90,"EXACT","REVIEW"))</f>
        <v/>
      </c>
      <c r="Q90" s="13">
        <f>IF(OR(L90="",M90=""),"",IF(AND(O90="EXACT",P90="EXACT"),"PASS","REVIEW"))</f>
        <v/>
      </c>
    </row>
    <row r="91">
      <c r="A91" s="6" t="n">
        <v>89</v>
      </c>
      <c r="B91" s="6" t="inlineStr">
        <is>
          <t>2026-06848</t>
        </is>
      </c>
      <c r="C91" s="7" t="inlineStr">
        <is>
          <t>Modification of Class E Airspace, Omak Airport, Omak, WA</t>
        </is>
      </c>
      <c r="D91" s="6" t="inlineStr">
        <is>
          <t>transportation-department</t>
        </is>
      </c>
      <c r="E91" s="6" t="inlineStr">
        <is>
          <t>Proposed Rule</t>
        </is>
      </c>
      <c r="F91" s="6" t="inlineStr">
        <is>
          <t>2026-04-09</t>
        </is>
      </c>
      <c r="G91" s="8" t="inlineStr">
        <is>
          <t>N</t>
        </is>
      </c>
      <c r="H91" s="9" t="n">
        <v>0.42</v>
      </c>
      <c r="I91" s="10" t="inlineStr">
        <is>
          <t>3364, 481</t>
        </is>
      </c>
      <c r="J91" s="10" t="inlineStr">
        <is>
          <t>ITA, IYT, JETS, XLI</t>
        </is>
      </c>
      <c r="K91" s="11" t="n">
        <v>4</v>
      </c>
      <c r="L91" s="12" t="n"/>
      <c r="M91" s="12" t="n"/>
      <c r="N91" s="12" t="n"/>
      <c r="O91" s="13">
        <f>IF(L91="","",IF(I91=L91,"EXACT",IF(ISNUMBER(SEARCH(LEFT(I91,3),L91)),"PARTIAL","MISS")))</f>
        <v/>
      </c>
      <c r="P91" s="13">
        <f>IF(M91="","",IF(J91=M91,"EXACT","REVIEW"))</f>
        <v/>
      </c>
      <c r="Q91" s="13">
        <f>IF(OR(L91="",M91=""),"",IF(AND(O91="EXACT",P91="EXACT"),"PASS","REVIEW"))</f>
        <v/>
      </c>
    </row>
    <row r="92">
      <c r="A92" s="6" t="n">
        <v>90</v>
      </c>
      <c r="B92" s="6" t="inlineStr">
        <is>
          <t>2026-06947</t>
        </is>
      </c>
      <c r="C92" s="7" t="inlineStr">
        <is>
          <t>Prohibition on the Use of Reputation Risk by Regulators</t>
        </is>
      </c>
      <c r="D92" s="6" t="inlineStr">
        <is>
          <t>treasury-department</t>
        </is>
      </c>
      <c r="E92" s="6" t="inlineStr">
        <is>
          <t>Rule</t>
        </is>
      </c>
      <c r="F92" s="6" t="inlineStr">
        <is>
          <t>2026-04-10</t>
        </is>
      </c>
      <c r="G92" s="8" t="inlineStr">
        <is>
          <t>N</t>
        </is>
      </c>
      <c r="H92" s="9" t="n">
        <v>0.33</v>
      </c>
      <c r="I92" s="10" t="inlineStr">
        <is>
          <t>522, 523</t>
        </is>
      </c>
      <c r="J92" s="10" t="inlineStr">
        <is>
          <t>IAI, KIE, KRE, XLF</t>
        </is>
      </c>
      <c r="K92" s="11" t="n">
        <v>4</v>
      </c>
      <c r="L92" s="12" t="n"/>
      <c r="M92" s="12" t="n"/>
      <c r="N92" s="12" t="n"/>
      <c r="O92" s="13">
        <f>IF(L92="","",IF(I92=L92,"EXACT",IF(ISNUMBER(SEARCH(LEFT(I92,3),L92)),"PARTIAL","MISS")))</f>
        <v/>
      </c>
      <c r="P92" s="13">
        <f>IF(M92="","",IF(J92=M92,"EXACT","REVIEW"))</f>
        <v/>
      </c>
      <c r="Q92" s="13">
        <f>IF(OR(L92="",M92=""),"",IF(AND(O92="EXACT",P92="EXACT"),"PASS","REVIEW"))</f>
        <v/>
      </c>
    </row>
    <row r="93">
      <c r="A93" s="6" t="n">
        <v>91</v>
      </c>
      <c r="B93" s="6" t="inlineStr">
        <is>
          <t>2026-06441</t>
        </is>
      </c>
      <c r="C93" s="7" t="inlineStr">
        <is>
          <t>Finding of Failure To Attain the 2006 24-Hour PM2.5 Standards; California; San Joaquin Valley; Error</t>
        </is>
      </c>
      <c r="D93" s="6" t="inlineStr">
        <is>
          <t>environmental-protection-agency</t>
        </is>
      </c>
      <c r="E93" s="6" t="inlineStr">
        <is>
          <t>Proposed Rule</t>
        </is>
      </c>
      <c r="F93" s="6" t="inlineStr">
        <is>
          <t>2026-04-02</t>
        </is>
      </c>
      <c r="G93" s="8" t="inlineStr">
        <is>
          <t>N</t>
        </is>
      </c>
      <c r="H93" s="9" t="n">
        <v>0.67</v>
      </c>
      <c r="I93" s="10" t="inlineStr">
        <is>
          <t>211, 212, 221, 322, 324, 325, 562</t>
        </is>
      </c>
      <c r="J93" s="10" t="inlineStr">
        <is>
          <t>IBB, ICLN, IHI, LIT, MOO, OIH, PHO, TAN, XBI, XLB, XLE, XLI, XLP, XLU, XLV, XME, XOP</t>
        </is>
      </c>
      <c r="K93" s="11" t="n">
        <v>17</v>
      </c>
      <c r="L93" s="12" t="n"/>
      <c r="M93" s="12" t="n"/>
      <c r="N93" s="12" t="n"/>
      <c r="O93" s="13">
        <f>IF(L93="","",IF(I93=L93,"EXACT",IF(ISNUMBER(SEARCH(LEFT(I93,3),L93)),"PARTIAL","MISS")))</f>
        <v/>
      </c>
      <c r="P93" s="13">
        <f>IF(M93="","",IF(J93=M93,"EXACT","REVIEW"))</f>
        <v/>
      </c>
      <c r="Q93" s="13">
        <f>IF(OR(L93="",M93=""),"",IF(AND(O93="EXACT",P93="EXACT"),"PASS","REVIEW"))</f>
        <v/>
      </c>
    </row>
    <row r="94">
      <c r="A94" s="6" t="n">
        <v>92</v>
      </c>
      <c r="B94" s="6" t="inlineStr">
        <is>
          <t>2026-06397</t>
        </is>
      </c>
      <c r="C94" s="7" t="inlineStr">
        <is>
          <t>Air Plan Approval; Ohio; Muskingum River 2010 Sulfur Dioxide Redesignation and Maintenance Plan</t>
        </is>
      </c>
      <c r="D94" s="6" t="inlineStr">
        <is>
          <t>environmental-protection-agency</t>
        </is>
      </c>
      <c r="E94" s="6" t="inlineStr">
        <is>
          <t>Rule</t>
        </is>
      </c>
      <c r="F94" s="6" t="inlineStr">
        <is>
          <t>2026-04-02</t>
        </is>
      </c>
      <c r="G94" s="8" t="inlineStr">
        <is>
          <t>N</t>
        </is>
      </c>
      <c r="H94" s="9" t="n">
        <v>0.67</v>
      </c>
      <c r="I94" s="10" t="inlineStr">
        <is>
          <t>211, 212, 221, 322, 324, 325, 562</t>
        </is>
      </c>
      <c r="J94" s="10" t="inlineStr">
        <is>
          <t>IBB, ICLN, IHI, LIT, MOO, OIH, PHO, TAN, XBI, XLB, XLE, XLI, XLP, XLU, XLV, XME, XOP</t>
        </is>
      </c>
      <c r="K94" s="11" t="n">
        <v>17</v>
      </c>
      <c r="L94" s="12" t="n"/>
      <c r="M94" s="12" t="n"/>
      <c r="N94" s="12" t="n"/>
      <c r="O94" s="13">
        <f>IF(L94="","",IF(I94=L94,"EXACT",IF(ISNUMBER(SEARCH(LEFT(I94,3),L94)),"PARTIAL","MISS")))</f>
        <v/>
      </c>
      <c r="P94" s="13">
        <f>IF(M94="","",IF(J94=M94,"EXACT","REVIEW"))</f>
        <v/>
      </c>
      <c r="Q94" s="13">
        <f>IF(OR(L94="",M94=""),"",IF(AND(O94="EXACT",P94="EXACT"),"PASS","REVIEW"))</f>
        <v/>
      </c>
    </row>
    <row r="95">
      <c r="A95" s="6" t="n">
        <v>93</v>
      </c>
      <c r="B95" s="6" t="inlineStr">
        <is>
          <t>2026-06398</t>
        </is>
      </c>
      <c r="C95" s="7" t="inlineStr">
        <is>
          <t>Air Plan Approval; Ohio; Ohio Permit Rules Revisions</t>
        </is>
      </c>
      <c r="D95" s="6" t="inlineStr">
        <is>
          <t>environmental-protection-agency</t>
        </is>
      </c>
      <c r="E95" s="6" t="inlineStr">
        <is>
          <t>Rule</t>
        </is>
      </c>
      <c r="F95" s="6" t="inlineStr">
        <is>
          <t>2026-04-02</t>
        </is>
      </c>
      <c r="G95" s="8" t="inlineStr">
        <is>
          <t>N</t>
        </is>
      </c>
      <c r="H95" s="9" t="n">
        <v>0.67</v>
      </c>
      <c r="I95" s="10" t="inlineStr">
        <is>
          <t>211, 212, 221, 322, 324, 325, 562</t>
        </is>
      </c>
      <c r="J95" s="10" t="inlineStr">
        <is>
          <t>IBB, ICLN, IHI, LIT, MOO, OIH, PHO, TAN, XBI, XLB, XLE, XLI, XLP, XLU, XLV, XME, XOP</t>
        </is>
      </c>
      <c r="K95" s="11" t="n">
        <v>17</v>
      </c>
      <c r="L95" s="12" t="n"/>
      <c r="M95" s="12" t="n"/>
      <c r="N95" s="12" t="n"/>
      <c r="O95" s="13">
        <f>IF(L95="","",IF(I95=L95,"EXACT",IF(ISNUMBER(SEARCH(LEFT(I95,3),L95)),"PARTIAL","MISS")))</f>
        <v/>
      </c>
      <c r="P95" s="13">
        <f>IF(M95="","",IF(J95=M95,"EXACT","REVIEW"))</f>
        <v/>
      </c>
      <c r="Q95" s="13">
        <f>IF(OR(L95="",M95=""),"",IF(AND(O95="EXACT",P95="EXACT"),"PASS","REVIEW"))</f>
        <v/>
      </c>
    </row>
    <row r="96">
      <c r="A96" s="6" t="n">
        <v>94</v>
      </c>
      <c r="B96" s="6" t="inlineStr">
        <is>
          <t>2026-06938</t>
        </is>
      </c>
      <c r="C96" s="7" t="inlineStr">
        <is>
          <t>Air Plan Approval; New York; Interstate Transport Requirements for the 2010 SO2 NAAQS</t>
        </is>
      </c>
      <c r="D96" s="6" t="inlineStr">
        <is>
          <t>environmental-protection-agency</t>
        </is>
      </c>
      <c r="E96" s="6" t="inlineStr">
        <is>
          <t>Proposed Rule</t>
        </is>
      </c>
      <c r="F96" s="6" t="inlineStr">
        <is>
          <t>2026-04-10</t>
        </is>
      </c>
      <c r="G96" s="8" t="inlineStr">
        <is>
          <t>N</t>
        </is>
      </c>
      <c r="H96" s="9" t="n">
        <v>0.33</v>
      </c>
      <c r="I96" s="10" t="inlineStr">
        <is>
          <t>211, 212, 221, 322, 324, 325, 562</t>
        </is>
      </c>
      <c r="J96" s="10" t="inlineStr">
        <is>
          <t>IBB, ICLN, IHI, LIT, MOO, OIH, PHO, TAN, XBI, XLB, XLE, XLI, XLP, XLU, XLV, XME, XOP</t>
        </is>
      </c>
      <c r="K96" s="11" t="n">
        <v>17</v>
      </c>
      <c r="L96" s="12" t="n"/>
      <c r="M96" s="12" t="n"/>
      <c r="N96" s="12" t="n"/>
      <c r="O96" s="13">
        <f>IF(L96="","",IF(I96=L96,"EXACT",IF(ISNUMBER(SEARCH(LEFT(I96,3),L96)),"PARTIAL","MISS")))</f>
        <v/>
      </c>
      <c r="P96" s="13">
        <f>IF(M96="","",IF(J96=M96,"EXACT","REVIEW"))</f>
        <v/>
      </c>
      <c r="Q96" s="13">
        <f>IF(OR(L96="",M96=""),"",IF(AND(O96="EXACT",P96="EXACT"),"PASS","REVIEW"))</f>
        <v/>
      </c>
    </row>
    <row r="97">
      <c r="A97" s="6" t="n">
        <v>95</v>
      </c>
      <c r="B97" s="6" t="inlineStr">
        <is>
          <t>2026-06775</t>
        </is>
      </c>
      <c r="C97" s="7" t="inlineStr">
        <is>
          <t>Update to EPAAR Text of Provisions and Clauses, Signing of Uniform Hazardous Wastes Manifests</t>
        </is>
      </c>
      <c r="D97" s="6" t="inlineStr">
        <is>
          <t>environmental-protection-agency</t>
        </is>
      </c>
      <c r="E97" s="6" t="inlineStr">
        <is>
          <t>Proposed Rule</t>
        </is>
      </c>
      <c r="F97" s="6" t="inlineStr">
        <is>
          <t>2026-04-08</t>
        </is>
      </c>
      <c r="G97" s="8" t="inlineStr">
        <is>
          <t>N</t>
        </is>
      </c>
      <c r="H97" s="9" t="n">
        <v>0.5</v>
      </c>
      <c r="I97" s="10" t="inlineStr">
        <is>
          <t>211, 212, 221, 322, 324, 325, 562, 3364, 5415, 334, 928</t>
        </is>
      </c>
      <c r="J97" s="10" t="inlineStr">
        <is>
          <t>CIBR, HACK, IBB, ICLN, IHI, ITA, IYZ, JETS, LIT, MOO, OIH, PHO, SMH, TAN, XBI, XLB, XLE, XLI, XLK, XLP, XLU, XLV, XME, XOP</t>
        </is>
      </c>
      <c r="K97" s="11" t="n">
        <v>24</v>
      </c>
      <c r="L97" s="12" t="n"/>
      <c r="M97" s="12" t="n"/>
      <c r="N97" s="12" t="n"/>
      <c r="O97" s="13">
        <f>IF(L97="","",IF(I97=L97,"EXACT",IF(ISNUMBER(SEARCH(LEFT(I97,3),L97)),"PARTIAL","MISS")))</f>
        <v/>
      </c>
      <c r="P97" s="13">
        <f>IF(M97="","",IF(J97=M97,"EXACT","REVIEW"))</f>
        <v/>
      </c>
      <c r="Q97" s="13">
        <f>IF(OR(L97="",M97=""),"",IF(AND(O97="EXACT",P97="EXACT"),"PASS","REVIEW"))</f>
        <v/>
      </c>
    </row>
    <row r="98">
      <c r="A98" s="6" t="n">
        <v>96</v>
      </c>
      <c r="B98" s="6" t="inlineStr">
        <is>
          <t>2026-06642</t>
        </is>
      </c>
      <c r="C98" s="7" t="inlineStr">
        <is>
          <t>Medicare Program; Inpatient Rehabilitation Facility Prospective Payment System for Federal Fiscal Ye</t>
        </is>
      </c>
      <c r="D98" s="6" t="inlineStr">
        <is>
          <t>health-and-human-services-department</t>
        </is>
      </c>
      <c r="E98" s="6" t="inlineStr">
        <is>
          <t>Proposed Rule</t>
        </is>
      </c>
      <c r="F98" s="6" t="inlineStr">
        <is>
          <t>2026-04-06</t>
        </is>
      </c>
      <c r="G98" s="8" t="inlineStr">
        <is>
          <t>N</t>
        </is>
      </c>
      <c r="H98" s="9" t="n">
        <v>0.4</v>
      </c>
      <c r="I98" s="10" t="inlineStr">
        <is>
          <t>621, 622, 524</t>
        </is>
      </c>
      <c r="J98" s="10" t="inlineStr">
        <is>
          <t>IBB, IHF, KIE, KRE, XLF, XLV</t>
        </is>
      </c>
      <c r="K98" s="11" t="n">
        <v>6</v>
      </c>
      <c r="L98" s="12" t="n"/>
      <c r="M98" s="12" t="n"/>
      <c r="N98" s="12" t="n"/>
      <c r="O98" s="13">
        <f>IF(L98="","",IF(I98=L98,"EXACT",IF(ISNUMBER(SEARCH(LEFT(I98,3),L98)),"PARTIAL","MISS")))</f>
        <v/>
      </c>
      <c r="P98" s="13">
        <f>IF(M98="","",IF(J98=M98,"EXACT","REVIEW"))</f>
        <v/>
      </c>
      <c r="Q98" s="13">
        <f>IF(OR(L98="",M98=""),"",IF(AND(O98="EXACT",P98="EXACT"),"PASS","REVIEW"))</f>
        <v/>
      </c>
    </row>
    <row r="99">
      <c r="A99" s="6" t="n">
        <v>97</v>
      </c>
      <c r="B99" s="6" t="inlineStr">
        <is>
          <t>2026-06197</t>
        </is>
      </c>
      <c r="C99" s="7" t="inlineStr">
        <is>
          <t>Backfilling and Grading</t>
        </is>
      </c>
      <c r="D99" s="6" t="inlineStr">
        <is>
          <t>interior-department</t>
        </is>
      </c>
      <c r="E99" s="6" t="inlineStr">
        <is>
          <t>Rule</t>
        </is>
      </c>
      <c r="F99" s="6" t="inlineStr">
        <is>
          <t>2026-03-31</t>
        </is>
      </c>
      <c r="G99" s="8" t="inlineStr">
        <is>
          <t>N</t>
        </is>
      </c>
      <c r="H99" s="9" t="n">
        <v>0.42</v>
      </c>
      <c r="I99" s="10" t="inlineStr">
        <is>
          <t>212</t>
        </is>
      </c>
      <c r="J99" s="10" t="inlineStr">
        <is>
          <t>LIT, XLB, XME</t>
        </is>
      </c>
      <c r="K99" s="11" t="n">
        <v>3</v>
      </c>
      <c r="L99" s="12" t="n"/>
      <c r="M99" s="12" t="n"/>
      <c r="N99" s="12" t="n"/>
      <c r="O99" s="13">
        <f>IF(L99="","",IF(I99=L99,"EXACT",IF(ISNUMBER(SEARCH(LEFT(I99,3),L99)),"PARTIAL","MISS")))</f>
        <v/>
      </c>
      <c r="P99" s="13">
        <f>IF(M99="","",IF(J99=M99,"EXACT","REVIEW"))</f>
        <v/>
      </c>
      <c r="Q99" s="13">
        <f>IF(OR(L99="",M99=""),"",IF(AND(O99="EXACT",P99="EXACT"),"PASS","REVIEW"))</f>
        <v/>
      </c>
    </row>
    <row r="100">
      <c r="A100" s="6" t="n">
        <v>98</v>
      </c>
      <c r="B100" s="6" t="inlineStr">
        <is>
          <t>2026-06386</t>
        </is>
      </c>
      <c r="C100" s="7" t="inlineStr">
        <is>
          <t>Air Quality Plan; California; Mojave Desert Air Quality Management District; Replacing Outdated Requ</t>
        </is>
      </c>
      <c r="D100" s="6" t="inlineStr">
        <is>
          <t>environmental-protection-agency</t>
        </is>
      </c>
      <c r="E100" s="6" t="inlineStr">
        <is>
          <t>Rule</t>
        </is>
      </c>
      <c r="F100" s="6" t="inlineStr">
        <is>
          <t>2026-04-02</t>
        </is>
      </c>
      <c r="G100" s="8" t="inlineStr">
        <is>
          <t>N</t>
        </is>
      </c>
      <c r="H100" s="9" t="n">
        <v>0.67</v>
      </c>
      <c r="I100" s="10" t="inlineStr">
        <is>
          <t>211, 212, 221, 322, 324, 325, 562</t>
        </is>
      </c>
      <c r="J100" s="10" t="inlineStr">
        <is>
          <t>IBB, ICLN, IHI, LIT, MOO, OIH, PHO, TAN, XBI, XLB, XLE, XLI, XLP, XLU, XLV, XME, XOP</t>
        </is>
      </c>
      <c r="K100" s="11" t="n">
        <v>17</v>
      </c>
      <c r="L100" s="12" t="n"/>
      <c r="M100" s="12" t="n"/>
      <c r="N100" s="12" t="n"/>
      <c r="O100" s="13">
        <f>IF(L100="","",IF(I100=L100,"EXACT",IF(ISNUMBER(SEARCH(LEFT(I100,3),L100)),"PARTIAL","MISS")))</f>
        <v/>
      </c>
      <c r="P100" s="13">
        <f>IF(M100="","",IF(J100=M100,"EXACT","REVIEW"))</f>
        <v/>
      </c>
      <c r="Q100" s="13">
        <f>IF(OR(L100="",M100=""),"",IF(AND(O100="EXACT",P100="EXACT"),"PASS","REVIEW"))</f>
        <v/>
      </c>
    </row>
    <row r="101">
      <c r="A101" s="6" t="n">
        <v>99</v>
      </c>
      <c r="B101" s="6" t="inlineStr">
        <is>
          <t>2026-07056</t>
        </is>
      </c>
      <c r="C101" s="7" t="inlineStr">
        <is>
          <t>Establishment of Class E Airspace; Wall Municipal Airport, Wall, SD</t>
        </is>
      </c>
      <c r="D101" s="6" t="inlineStr">
        <is>
          <t>transportation-department</t>
        </is>
      </c>
      <c r="E101" s="6" t="inlineStr">
        <is>
          <t>Rule</t>
        </is>
      </c>
      <c r="F101" s="6" t="inlineStr">
        <is>
          <t>2026-04-13</t>
        </is>
      </c>
      <c r="G101" s="8" t="inlineStr">
        <is>
          <t>N</t>
        </is>
      </c>
      <c r="H101" s="9" t="n">
        <v>0.58</v>
      </c>
      <c r="I101" s="10" t="inlineStr">
        <is>
          <t>3364, 481</t>
        </is>
      </c>
      <c r="J101" s="10" t="inlineStr">
        <is>
          <t>ITA, IYT, JETS, XLI</t>
        </is>
      </c>
      <c r="K101" s="11" t="n">
        <v>4</v>
      </c>
      <c r="L101" s="12" t="n"/>
      <c r="M101" s="12" t="n"/>
      <c r="N101" s="12" t="n"/>
      <c r="O101" s="13">
        <f>IF(L101="","",IF(I101=L101,"EXACT",IF(ISNUMBER(SEARCH(LEFT(I101,3),L101)),"PARTIAL","MISS")))</f>
        <v/>
      </c>
      <c r="P101" s="13">
        <f>IF(M101="","",IF(J101=M101,"EXACT","REVIEW"))</f>
        <v/>
      </c>
      <c r="Q101" s="13">
        <f>IF(OR(L101="",M101=""),"",IF(AND(O101="EXACT",P101="EXACT"),"PASS","REVIEW"))</f>
        <v/>
      </c>
    </row>
    <row r="102">
      <c r="A102" s="6" t="n">
        <v>100</v>
      </c>
      <c r="B102" s="6" t="inlineStr">
        <is>
          <t>2026-06907</t>
        </is>
      </c>
      <c r="C102" s="7" t="inlineStr">
        <is>
          <t>Establishment of Class E Airspace; Crown Point, IN</t>
        </is>
      </c>
      <c r="D102" s="6" t="inlineStr">
        <is>
          <t>transportation-department</t>
        </is>
      </c>
      <c r="E102" s="6" t="inlineStr">
        <is>
          <t>Proposed Rule</t>
        </is>
      </c>
      <c r="F102" s="6" t="inlineStr">
        <is>
          <t>2026-04-09</t>
        </is>
      </c>
      <c r="G102" s="8" t="inlineStr">
        <is>
          <t>N</t>
        </is>
      </c>
      <c r="H102" s="9" t="n">
        <v>0.42</v>
      </c>
      <c r="I102" s="10" t="inlineStr">
        <is>
          <t>3364, 481</t>
        </is>
      </c>
      <c r="J102" s="10" t="inlineStr">
        <is>
          <t>ITA, IYT, JETS, XLI</t>
        </is>
      </c>
      <c r="K102" s="11" t="n">
        <v>4</v>
      </c>
      <c r="L102" s="12" t="n"/>
      <c r="M102" s="12" t="n"/>
      <c r="N102" s="12" t="n"/>
      <c r="O102" s="13">
        <f>IF(L102="","",IF(I102=L102,"EXACT",IF(ISNUMBER(SEARCH(LEFT(I102,3),L102)),"PARTIAL","MISS")))</f>
        <v/>
      </c>
      <c r="P102" s="13">
        <f>IF(M102="","",IF(J102=M102,"EXACT","REVIEW"))</f>
        <v/>
      </c>
      <c r="Q102" s="13">
        <f>IF(OR(L102="",M102=""),"",IF(AND(O102="EXACT",P102="EXACT"),"PASS","REVIEW"))</f>
        <v/>
      </c>
    </row>
    <row r="103">
      <c r="A103" s="14" t="inlineStr">
        <is>
          <t>SUMMARY</t>
        </is>
      </c>
      <c r="O103" s="15">
        <f>COUNTIF(O3:O102,"EXACT")&amp;"/"&amp;COUNTA(O3:O102)</f>
        <v/>
      </c>
      <c r="Q103" s="15">
        <f>COUNTIF(Q3:Q102,"PASS")&amp;"/"&amp;COUNTA(Q3:Q102)</f>
        <v/>
      </c>
    </row>
  </sheetData>
  <mergeCells count="4">
    <mergeCell ref="I1:K1"/>
    <mergeCell ref="L1:N1"/>
    <mergeCell ref="O1:Q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Legalize Validation Set — 100건 라벨링 가이드</t>
        </is>
      </c>
    </row>
    <row r="2">
      <c r="A2" s="17" t="inlineStr"/>
    </row>
    <row r="3">
      <c r="A3" s="17" t="inlineStr">
        <is>
          <t>초록색 열 (L, M, N)에 직접 입력하세요:</t>
        </is>
      </c>
    </row>
    <row r="4">
      <c r="A4" s="17" t="inlineStr">
        <is>
          <t xml:space="preserve">  L열: 이 규제가 실제로 영향주는 산업 NAICS 코드 (쉼표 구분)</t>
        </is>
      </c>
    </row>
    <row r="5">
      <c r="A5" s="17" t="inlineStr">
        <is>
          <t xml:space="preserve">  M열: 실제로 노출되는 ETF 티커 (쉼표 구분)</t>
        </is>
      </c>
    </row>
    <row r="6">
      <c r="A6" s="17" t="inlineStr">
        <is>
          <t xml:space="preserve">  N열: 메모 (애매한 케이스, 의문점 등)</t>
        </is>
      </c>
    </row>
    <row r="7">
      <c r="A7" s="17" t="inlineStr"/>
    </row>
    <row r="8">
      <c r="A8" s="17" t="inlineStr">
        <is>
          <t>FR 원문 확인: https://www.federalregister.gov 에서 Document # 검색</t>
        </is>
      </c>
    </row>
    <row r="9">
      <c r="A9" s="17" t="inlineStr"/>
    </row>
    <row r="10">
      <c r="A10" s="17" t="inlineStr">
        <is>
          <t>파란 열 = 파이프라인 예측 (수정 X)</t>
        </is>
      </c>
    </row>
    <row r="11">
      <c r="A11" s="17" t="inlineStr">
        <is>
          <t>노란 열 = 자동 점수 (수식)</t>
        </is>
      </c>
    </row>
    <row r="12">
      <c r="A12" s="17" t="inlineStr"/>
    </row>
    <row r="13">
      <c r="A13" s="17" t="inlineStr">
        <is>
          <t>샘플: 90일 RULE+PRORULE 184건 → stratified 100건, seed=42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2026-04-12T23:44:43Z</dcterms:created>
  <dcterms:modified xmlns:dcterms="http://purl.org/dc/terms/" xmlns:xsi="http://www.w3.org/2001/XMLSchema-instance" xsi:type="dcterms:W3CDTF">2026-04-12T23:44:43Z</dcterms:modified>
</cp:coreProperties>
</file>